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75039487-0D1F-48CB-9564-8D92365DA008}" xr6:coauthVersionLast="41" xr6:coauthVersionMax="41" xr10:uidLastSave="{00000000-0000-0000-0000-000000000000}"/>
  <bookViews>
    <workbookView xWindow="3120" yWindow="720" windowWidth="21600" windowHeight="12375"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Lookup" sheetId="11" state="veryHidden" r:id="rId9"/>
  </sheets>
  <functionGroups builtInGroupCount="19"/>
  <definedNames>
    <definedName name="_xlnm._FilterDatabase" localSheetId="5" hidden="1">TA!$C$1:$C$40</definedName>
    <definedName name="_xlnm._FilterDatabase" localSheetId="6" hidden="1">TE!$C$1:$C$40</definedName>
    <definedName name="_xlnm._FilterDatabase" localSheetId="2" hidden="1">TS!$A$1:$G$29</definedName>
    <definedName name="AGESPAN">Lookup!$B$1:$B$8</definedName>
    <definedName name="AGEU">Lookup!$B$9:$B$13</definedName>
    <definedName name="ARMCD">Lookup!$D$2</definedName>
    <definedName name="_xlnm.Criteria" localSheetId="8">Lookup!$F$1</definedName>
    <definedName name="DESIGN">Lookup!$B$167:$B$170</definedName>
    <definedName name="ETCD">Lookup!$F$2</definedName>
    <definedName name="_xlnm.Extract" localSheetId="8">Lookup!$F$1</definedName>
    <definedName name="IECAT">Lookup!$B$14:$B$15</definedName>
    <definedName name="NY">Lookup!$B$16:$B$19</definedName>
    <definedName name="ROUTE">Lookup!$B$20:$B$131</definedName>
    <definedName name="SEXPOP">Lookup!$B$132:$B$134</definedName>
    <definedName name="StudyID">Study!$C$2</definedName>
    <definedName name="TA">TA!$A$1:$J$40</definedName>
    <definedName name="TBLIND">Lookup!$B$135:$B$137</definedName>
    <definedName name="TCNTRL">Lookup!$B$138:$B$140</definedName>
    <definedName name="TDIGRP">Lookup!$B$141</definedName>
    <definedName name="TE">TE!$A$1:$G$40</definedName>
    <definedName name="TI">TI!$A$1:$H$40</definedName>
    <definedName name="TINDTP">Lookup!$B$142:$B$146</definedName>
    <definedName name="TPHASE">Lookup!$B$147:$B$158</definedName>
    <definedName name="TS">TS!$A$1:$G$29</definedName>
    <definedName name="TTYPE">Lookup!$B$159:$B$166</definedName>
    <definedName name="TV">TV!$A$1:$I$40</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4" l="1"/>
  <c r="A3" i="4"/>
  <c r="A2" i="7"/>
  <c r="B2" i="7"/>
  <c r="A3" i="7"/>
  <c r="B3" i="7"/>
  <c r="A4" i="7"/>
  <c r="B4"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29" i="7"/>
  <c r="B2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<sst xmlns="http://schemas.openxmlformats.org/spreadsheetml/2006/main" count="503" uniqueCount="308">
  <si>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</si>
  <si>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</si>
  <si>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</si>
  <si>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</si>
  <si>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</si>
  <si>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</si>
  <si>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</si>
  <si>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</si>
  <si>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</si>
  <si>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</si>
  <si>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</si>
  <si>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</si>
  <si>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</si>
  <si>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</si>
  <si>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</si>
  <si>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</si>
  <si>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</si>
  <si>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</si>
  <si>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</si>
  <si>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</si>
  <si>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</si>
  <si>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</si>
  <si>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</si>
  <si>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</si>
  <si>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</si>
  <si>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</si>
  <si>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</si>
  <si>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</si>
  <si>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</si>
  <si>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</si>
  <si>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</si>
  <si>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</si>
  <si>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</si>
  <si>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</si>
  <si>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</si>
  <si>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</si>
  <si>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</si>
  <si>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</si>
  <si>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</si>
  <si>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</si>
  <si>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</si>
  <si>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</si>
  <si>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</si>
  <si>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</si>
  <si>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</si>
  <si>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</si>
  <si>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GlaxoSmithKline</t>
  </si>
  <si>
    <t>Study ID:</t>
  </si>
  <si>
    <t>INC01</t>
  </si>
  <si>
    <t>INCLUSION</t>
  </si>
  <si>
    <t>Example: First inclusion criterion</t>
  </si>
  <si>
    <t>EXC01</t>
  </si>
  <si>
    <t>EXCLUSION</t>
  </si>
  <si>
    <t>SCREEN</t>
  </si>
  <si>
    <t>TREATMENT</t>
  </si>
  <si>
    <t>FOLLOW-UP</t>
  </si>
  <si>
    <t>A</t>
  </si>
  <si>
    <t>SCRN</t>
  </si>
  <si>
    <t>FU</t>
  </si>
  <si>
    <t>B</t>
  </si>
  <si>
    <t>1 mg</t>
  </si>
  <si>
    <t>5 mg</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</si>
  <si>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</si>
  <si>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</si>
  <si>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</si>
  <si>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</si>
  <si>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</si>
  <si>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</si>
  <si>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</si>
  <si>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</si>
  <si>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</si>
  <si>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</si>
  <si>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</si>
  <si>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</si>
  <si>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</si>
  <si>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</si>
  <si>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</si>
  <si>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</si>
  <si>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</si>
  <si>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</si>
  <si>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</si>
  <si>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</si>
  <si>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</si>
  <si>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</si>
  <si>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</si>
  <si>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</si>
  <si>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</si>
  <si>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</si>
  <si>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</si>
  <si>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</si>
  <si>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</si>
  <si>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</si>
  <si>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</si>
  <si>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</si>
  <si>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</si>
  <si>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</si>
  <si>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</si>
  <si>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</si>
  <si>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</si>
  <si>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</si>
  <si>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</si>
  <si>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</si>
  <si>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</si>
  <si>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</si>
  <si>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</si>
  <si>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</si>
  <si>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</si>
  <si>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</si>
  <si>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</si>
  <si>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</si>
  <si>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</si>
  <si>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</si>
  <si>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</si>
  <si>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</si>
  <si>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</si>
  <si>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</si>
  <si>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</si>
  <si>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</si>
  <si>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</si>
  <si>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</si>
  <si>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</si>
  <si>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</si>
  <si>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</si>
  <si>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</si>
  <si>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</si>
  <si>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</si>
  <si>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</si>
  <si>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</si>
  <si>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</si>
  <si>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</si>
  <si>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</si>
  <si>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</si>
  <si>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</si>
  <si>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</si>
  <si>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</si>
  <si>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</si>
  <si>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</si>
  <si>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</si>
  <si>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</si>
  <si>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</si>
  <si>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</si>
  <si>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</si>
  <si>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</si>
  <si>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</si>
  <si>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</si>
  <si>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</si>
  <si>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</si>
  <si>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</si>
  <si>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</si>
  <si>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</si>
  <si>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</si>
  <si>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</si>
  <si>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</si>
  <si>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</si>
  <si>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</si>
  <si>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</si>
  <si>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</si>
  <si>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</si>
  <si>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</si>
  <si>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</si>
  <si>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</si>
  <si>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</si>
  <si>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</si>
  <si>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</si>
  <si>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</si>
  <si>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</si>
  <si>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</si>
  <si>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</si>
  <si>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</si>
  <si>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</si>
  <si>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</si>
  <si>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</si>
  <si>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</si>
  <si>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</si>
  <si>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</si>
  <si>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</si>
  <si>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</si>
  <si>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</si>
  <si>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</si>
  <si>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</si>
  <si>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</si>
  <si>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</si>
  <si>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</si>
  <si>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</si>
  <si>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</si>
  <si>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</si>
  <si>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</si>
  <si>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</si>
  <si>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</si>
  <si>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</si>
  <si>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</si>
  <si>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</si>
  <si>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</si>
  <si>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</si>
  <si>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</si>
  <si>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</si>
  <si>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</si>
  <si>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</si>
  <si>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</si>
  <si>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</si>
  <si>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</si>
  <si>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</si>
  <si>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</si>
  <si>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</si>
  <si>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</si>
  <si>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</si>
  <si>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</si>
  <si>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</si>
  <si>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</si>
  <si>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</si>
  <si>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</si>
  <si>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</si>
  <si>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</si>
  <si>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</si>
  <si>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</si>
  <si>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</si>
  <si>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</si>
  <si>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</si>
  <si>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</si>
  <si>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</si>
  <si>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</si>
  <si>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</si>
  <si>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</si>
  <si>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</si>
  <si>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</si>
  <si>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</si>
  <si>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</si>
  <si>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</si>
  <si>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</si>
  <si>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</si>
  <si>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</si>
  <si>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</si>
  <si>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</si>
  <si>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</si>
  <si>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</si>
  <si>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</si>
  <si>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</si>
  <si>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</si>
  <si>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</si>
  <si>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</si>
  <si>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</si>
  <si>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</si>
  <si>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</si>
  <si>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</si>
  <si>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</si>
  <si>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</si>
  <si>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</si>
  <si>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</si>
  <si>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</si>
  <si>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</si>
  <si>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</si>
  <si>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</si>
  <si>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</si>
  <si>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</si>
  <si>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</si>
  <si>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</si>
  <si>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</si>
  <si>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</si>
  <si>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</si>
  <si>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</si>
  <si>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</si>
  <si>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</si>
  <si>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</si>
  <si>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</si>
  <si>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</si>
  <si>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</si>
  <si>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</si>
  <si>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</si>
  <si>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</si>
  <si>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</si>
  <si>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</si>
  <si>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</si>
  <si>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</si>
  <si>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</si>
  <si>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</si>
  <si>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TS Worksheet:</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</si>
  <si>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</si>
  <si>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</si>
  <si>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</si>
  <si>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</si>
  <si>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TI Worksheet:</t>
  </si>
  <si>
    <t>Trial Design Matrix Worksheet:</t>
  </si>
  <si>
    <t>This worksheet is where you would enter the trial design matrix (refer to the SDTM IG for a discussion of the Trial Design Matrix), and once entered, clicking on the “Generate TA/TE” button auto-populates selected portions of the TA and TE worksheets.</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</si>
  <si>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</si>
  <si>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</si>
  <si>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</si>
  <si>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</si>
  <si>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</si>
  <si>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</si>
  <si>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</si>
  <si>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</si>
  <si>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</si>
  <si>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</si>
  <si>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</si>
  <si>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</si>
  <si>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</si>
  <si>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</si>
  <si>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</si>
  <si>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r>
      <t xml:space="preserve">7. EPOCH will be auto-populated with the values from the column headers to the right of the “Generate TA/TE” button.  </t>
    </r>
    <r>
      <rPr>
        <sz val="12"/>
        <color indexed="10"/>
        <rFont val="Times New Roman"/>
        <family val="1"/>
      </rPr>
      <t xml:space="preserve"> </t>
    </r>
  </si>
  <si>
    <t xml:space="preserve">7. The “Generate TA/TE” sometimes produces unexpected values (spaces between words cmpressed out, for instance) in the in the auto-populated fields – so all field values should be checked carefully to determine if they should be amended.  </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</si>
  <si>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</si>
  <si>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</si>
  <si>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</si>
  <si>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</si>
  <si>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</si>
  <si>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</si>
  <si>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</si>
  <si>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8. Sometimes when populating TATEORD,  may get an error message “TAETORD must be a whole number which starts at 1 for the first element in the arm and increments for subsequent elements.” One trick is to add rows a few rows down and then delete the rows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</si>
</sst>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name val="Arial"/>
    </font>
    <font>
      <sz val="8"/>
      <name val="Arial"/>
    </font>
    <font>
      <b/>
      <sz val="8"/>
      <name val="Arial"/>
      <family val="2"/>
    </font>
    <font>
      <sz val="10"/>
      <color indexed="8"/>
      <name val="MS Sans Serif"/>
    </font>
    <font>
      <sz val="8"/>
      <name val="Tahoma"/>
      <family val="2"/>
    </font>
    <font>
      <sz val="8"/>
      <color indexed="81"/>
      <name val="Tahoma"/>
    </font>
    <font>
      <b/>
      <sz val="8"/>
      <name val="Tahoma"/>
      <family val="2"/>
    </font>
    <font>
      <sz val="12"/>
      <name val="Times New Roman"/>
      <family val="1"/>
    </font>
    <font>
      <sz val="12"/>
      <color indexed="10"/>
      <name val="Times New Roman"/>
      <family val="1"/>
    </font>
    <font>
      <b/>
      <sz val="12"/>
      <name val="Times New Roman"/>
      <family val="1"/>
    </font>
    <font>
      <b/>
      <sz val="18"/>
      <name val="Arial"/>
      <family val="2"/>
    </font>
  </fonts>
  <fills count="4">
    <fill>
      <patternFill patternType="none"/>
    </fill>
    <fill>
      <patternFill patternType="gray125"/>
    </fill>
    <fill>
      <patternFill patternType="solid">
        <fgColor indexed="22"/>
        <bgColor indexed="64"/>
      </patternFill>
    </fill>
    <fill>
      <patternFill patternType="solid">
        <fgColor indexed="9"/>
        <bgColor indexed="64"/>
      </patternFill>
    </fill>
  </fills>
  <borders count="16">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diagonal/>
    </border>
    <border>
      <left style="hair">
        <color indexed="64"/>
      </left>
      <right/>
      <top style="thin">
        <color indexed="64"/>
      </top>
      <bottom style="hair">
        <color indexed="64"/>
      </bottom>
      <diagonal/>
    </border>
    <border>
      <left style="thin">
        <color indexed="64"/>
      </left>
      <right/>
      <top/>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diagonal/>
    </border>
  </borders>
  <cellStyleXfs count="2">
    <xf numFmtId="0" fontId="0" fillId="0" borderId="0"/>
    <xf numFmtId="0" fontId="3" fillId="0" borderId="0"/>
  </cellStyleXfs>
  <cellXfs count="63">
    <xf numFmtId="0" fontId="0" fillId="0" borderId="0" xfId="0"/>
    <xf numFmtId="0" fontId="6" fillId="2" borderId="1" xfId="0" applyFont="1" applyFill="1" applyBorder="1"/>
    <xf numFmtId="0" fontId="6" fillId="2" borderId="2" xfId="0" applyFont="1" applyFill="1" applyBorder="1"/>
    <xf numFmtId="0" fontId="6" fillId="2" borderId="3" xfId="0" applyFont="1" applyFill="1" applyBorder="1"/>
    <xf numFmtId="0" fontId="2" fillId="2" borderId="0" xfId="0" applyFont="1" applyFill="1"/>
    <xf numFmtId="0" fontId="4" fillId="2" borderId="4" xfId="0" applyFont="1" applyFill="1" applyBorder="1"/>
    <xf numFmtId="0" fontId="4" fillId="2" borderId="5" xfId="0" applyFont="1" applyFill="1" applyBorder="1"/>
    <xf numFmtId="0" fontId="4" fillId="0" borderId="5" xfId="0" applyFont="1" applyFill="1" applyBorder="1" applyProtection="1">
      <protection locked="0"/>
    </xf>
    <xf numFmtId="0" fontId="4" fillId="0" borderId="6" xfId="0" applyFont="1" applyFill="1" applyBorder="1" applyProtection="1">
      <protection locked="0"/>
    </xf>
    <xf numFmtId="0" fontId="1" fillId="2" borderId="0" xfId="0" applyFont="1" applyFill="1"/>
    <xf numFmtId="0" fontId="6" fillId="2" borderId="0" xfId="0" applyFont="1" applyFill="1"/>
    <xf numFmtId="0" fontId="4" fillId="2" borderId="0" xfId="0" applyFont="1" applyFill="1"/>
    <xf numFmtId="0" fontId="1" fillId="0" borderId="6" xfId="0" applyFont="1" applyFill="1" applyBorder="1" applyProtection="1">
      <protection locked="0"/>
    </xf>
    <xf numFmtId="0" fontId="4" fillId="0" borderId="0" xfId="0" applyFont="1" applyFill="1" applyBorder="1" applyProtection="1">
      <protection locked="0"/>
    </xf>
    <xf numFmtId="0" fontId="0" fillId="0" borderId="7" xfId="0" applyBorder="1"/>
    <xf numFmtId="0" fontId="0" fillId="2" borderId="7" xfId="0" applyFill="1" applyBorder="1" applyAlignment="1">
      <alignment horizontal="center"/>
    </xf>
    <xf numFmtId="0" fontId="0" fillId="2" borderId="7" xfId="0" applyFill="1" applyBorder="1"/>
    <xf numFmtId="0" fontId="0" fillId="0" borderId="7" xfId="0" applyBorder="1" applyAlignment="1"/>
    <xf numFmtId="0" fontId="4" fillId="2" borderId="4" xfId="0" applyFont="1" applyFill="1" applyBorder="1" applyProtection="1">
      <protection hidden="1"/>
    </xf>
    <xf numFmtId="0" fontId="4" fillId="2" borderId="5" xfId="0" applyFont="1" applyFill="1" applyBorder="1" applyProtection="1">
      <protection hidden="1"/>
    </xf>
    <xf numFmtId="0" fontId="0" fillId="2" borderId="8" xfId="0" applyFill="1" applyBorder="1" applyAlignment="1"/>
    <xf numFmtId="0" fontId="4" fillId="2" borderId="0" xfId="0" applyFont="1" applyFill="1" applyProtection="1"/>
    <xf numFmtId="0" fontId="4" fillId="2" borderId="4" xfId="0" applyFont="1" applyFill="1" applyBorder="1" applyAlignment="1" applyProtection="1">
      <alignment vertical="top"/>
      <protection hidden="1"/>
    </xf>
    <xf numFmtId="0" fontId="4" fillId="2" borderId="5" xfId="0" applyFont="1" applyFill="1" applyBorder="1" applyAlignment="1" applyProtection="1">
      <alignment vertical="top"/>
      <protection hidden="1"/>
    </xf>
    <xf numFmtId="0" fontId="4" fillId="0" borderId="5" xfId="0" applyFont="1" applyFill="1" applyBorder="1" applyAlignment="1" applyProtection="1">
      <alignment vertical="top"/>
      <protection locked="0"/>
    </xf>
    <xf numFmtId="0" fontId="4" fillId="0" borderId="5" xfId="0" applyFont="1" applyFill="1" applyBorder="1" applyAlignment="1" applyProtection="1">
      <alignment vertical="top" wrapText="1"/>
      <protection locked="0"/>
    </xf>
    <xf numFmtId="0" fontId="4" fillId="0" borderId="6" xfId="0" applyFont="1" applyFill="1" applyBorder="1" applyAlignment="1" applyProtection="1">
      <alignment wrapText="1"/>
      <protection locked="0"/>
    </xf>
    <xf numFmtId="0" fontId="4" fillId="0" borderId="5" xfId="0" applyFont="1" applyFill="1" applyBorder="1" applyAlignment="1" applyProtection="1">
      <alignment wrapText="1"/>
      <protection locked="0"/>
    </xf>
    <xf numFmtId="0" fontId="4" fillId="2" borderId="5" xfId="0" applyFont="1" applyFill="1" applyBorder="1" applyAlignment="1" applyProtection="1">
      <alignment wrapText="1"/>
      <protection hidden="1"/>
    </xf>
    <xf numFmtId="0" fontId="4" fillId="0" borderId="5" xfId="0" applyFont="1" applyFill="1" applyBorder="1"/>
    <xf numFmtId="0" fontId="4" fillId="2" borderId="9" xfId="0" applyFont="1" applyFill="1" applyBorder="1" applyProtection="1">
      <protection hidden="1"/>
    </xf>
    <xf numFmtId="0" fontId="4" fillId="2" borderId="10" xfId="0" applyFont="1" applyFill="1" applyBorder="1" applyProtection="1">
      <protection hidden="1"/>
    </xf>
    <xf numFmtId="0" fontId="4" fillId="2" borderId="10" xfId="0" applyFont="1" applyFill="1" applyBorder="1"/>
    <xf numFmtId="0" fontId="4" fillId="2" borderId="11" xfId="0" applyFont="1" applyFill="1" applyBorder="1"/>
    <xf numFmtId="0" fontId="1" fillId="2" borderId="11" xfId="0" applyFont="1" applyFill="1" applyBorder="1"/>
    <xf numFmtId="0" fontId="6" fillId="2" borderId="12" xfId="0" applyFont="1" applyFill="1" applyBorder="1"/>
    <xf numFmtId="0" fontId="2" fillId="2" borderId="13" xfId="0" applyFont="1" applyFill="1" applyBorder="1"/>
    <xf numFmtId="0" fontId="1" fillId="2" borderId="13" xfId="0" applyFont="1" applyFill="1" applyBorder="1"/>
    <xf numFmtId="49" fontId="4" fillId="0" borderId="14" xfId="0" applyNumberFormat="1" applyFont="1" applyFill="1" applyBorder="1" applyAlignment="1" applyProtection="1">
      <alignment wrapText="1"/>
      <protection locked="0"/>
    </xf>
    <xf numFmtId="0" fontId="4" fillId="0" borderId="14" xfId="0" applyFont="1" applyFill="1" applyBorder="1" applyAlignment="1" applyProtection="1">
      <alignment vertical="top" wrapText="1"/>
      <protection locked="0"/>
    </xf>
    <xf numFmtId="0" fontId="6" fillId="2" borderId="13" xfId="0" applyFont="1" applyFill="1" applyBorder="1"/>
    <xf numFmtId="0" fontId="4" fillId="2" borderId="13" xfId="0" applyFont="1" applyFill="1" applyBorder="1" applyProtection="1"/>
    <xf numFmtId="0" fontId="4" fillId="2" borderId="9" xfId="0" applyFont="1" applyFill="1" applyBorder="1" applyAlignment="1" applyProtection="1">
      <alignment vertical="top"/>
      <protection hidden="1"/>
    </xf>
    <xf numFmtId="0" fontId="4" fillId="2" borderId="10" xfId="0" applyFont="1" applyFill="1" applyBorder="1" applyAlignment="1" applyProtection="1">
      <alignment vertical="top"/>
      <protection hidden="1"/>
    </xf>
    <xf numFmtId="0" fontId="4" fillId="3" borderId="5" xfId="0" applyFont="1" applyFill="1" applyBorder="1" applyAlignment="1" applyProtection="1">
      <alignment vertical="top" wrapText="1"/>
      <protection locked="0"/>
    </xf>
    <xf numFmtId="0" fontId="4" fillId="3" borderId="5" xfId="0" applyFont="1" applyFill="1" applyBorder="1" applyAlignment="1" applyProtection="1">
      <alignment vertical="top"/>
      <protection locked="0"/>
    </xf>
    <xf numFmtId="0" fontId="1" fillId="3" borderId="5" xfId="0" applyFont="1" applyFill="1" applyBorder="1" applyProtection="1">
      <protection locked="0"/>
    </xf>
    <xf numFmtId="0" fontId="4" fillId="0" borderId="10" xfId="0" applyFont="1" applyFill="1" applyBorder="1" applyProtection="1">
      <protection locked="0"/>
    </xf>
    <xf numFmtId="0" fontId="4" fillId="0" borderId="10" xfId="0" applyFont="1" applyFill="1" applyBorder="1" applyAlignment="1" applyProtection="1">
      <alignment wrapText="1"/>
      <protection locked="0"/>
    </xf>
    <xf numFmtId="0" fontId="4" fillId="2" borderId="10" xfId="0" applyFont="1" applyFill="1" applyBorder="1" applyAlignment="1" applyProtection="1">
      <alignment wrapText="1"/>
      <protection hidden="1"/>
    </xf>
    <xf numFmtId="0" fontId="4" fillId="3" borderId="5" xfId="0" applyFont="1" applyFill="1" applyBorder="1" applyProtection="1">
      <protection locked="0"/>
    </xf>
    <xf numFmtId="0" fontId="4" fillId="3" borderId="5" xfId="0" applyFont="1" applyFill="1" applyBorder="1"/>
    <xf numFmtId="0" fontId="4" fillId="3" borderId="5" xfId="0" applyFont="1" applyFill="1" applyBorder="1" applyAlignment="1" applyProtection="1">
      <alignment wrapText="1"/>
      <protection locked="0"/>
    </xf>
    <xf numFmtId="0" fontId="4" fillId="2" borderId="9" xfId="0" applyFont="1" applyFill="1" applyBorder="1"/>
    <xf numFmtId="0" fontId="4" fillId="0" borderId="15" xfId="0" applyFont="1" applyFill="1" applyBorder="1" applyProtection="1">
      <protection locked="0"/>
    </xf>
    <xf numFmtId="0" fontId="4" fillId="2" borderId="13" xfId="0" applyFont="1" applyFill="1" applyBorder="1"/>
    <xf numFmtId="0" fontId="4" fillId="0" borderId="15" xfId="0" applyFont="1" applyFill="1" applyBorder="1" applyAlignment="1" applyProtection="1">
      <alignment wrapText="1"/>
      <protection locked="0"/>
    </xf>
    <xf numFmtId="0" fontId="7" fillId="0" borderId="0" xfId="0" applyFont="1" applyAlignment="1">
      <alignment wrapText="1"/>
    </xf>
    <xf numFmtId="0" fontId="0" fillId="0" borderId="0" xfId="0" applyAlignment="1">
      <alignment wrapText="1"/>
    </xf>
    <xf numFmtId="0" fontId="9" fillId="0" borderId="0" xfId="0" applyFont="1" applyAlignment="1">
      <alignment wrapText="1"/>
    </xf>
    <xf numFmtId="0" fontId="7" fillId="0" borderId="0" xfId="0" applyFont="1" applyAlignment="1">
      <alignment horizontal="left" wrapText="1"/>
    </xf>
    <xf numFmtId="0" fontId="10" fillId="0" borderId="0" xfId="0" applyFont="1"/>
    <xf numFmtId="0" fontId="10" fillId="0" borderId="0" xfId="0" applyFont="1" applyAlignment="1">
      <alignment horizontal="center" wrapText="1"/>
    </xf>
  </cellXfs>
  <cellStyles count="2">
    <cellStyle name="Normal" xfId="0" builtinId="0"/>
    <cellStyle name="Standard_Tabelle1"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3</xdr:row>
          <xdr:rowOff>0</xdr:rowOff>
        </xdr:from>
        <xdr:to>
          <xdr:col>8</xdr:col>
          <xdr:colOff>9525</xdr:colOff>
          <xdr:row>4</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19050</xdr:colOff>
          <xdr:row>1</xdr:row>
          <xdr:rowOff>0</xdr:rowOff>
        </xdr:from>
        <xdr:to>
          <xdr:col>10</xdr:col>
          <xdr:colOff>180975</xdr:colOff>
          <xdr:row>2</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19050</xdr:colOff>
          <xdr:row>1</xdr:row>
          <xdr:rowOff>0</xdr:rowOff>
        </xdr:from>
        <xdr:to>
          <xdr:col>7</xdr:col>
          <xdr:colOff>180975</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1</xdr:row>
          <xdr:rowOff>0</xdr:rowOff>
        </xdr:from>
        <xdr:to>
          <xdr:col>9</xdr:col>
          <xdr:colOff>333375</xdr:colOff>
          <xdr:row>2</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tabSelected="1" workbookViewId="0">
      <selection activeCell="E39" sqref="E39"/>
    </sheetView>
  </sheetViews>
  <sheetFormatPr defaultRowHeight="12.75" x14ac:dyDescent="0.2"/>
  <cols>
    <col min="1" max="1" width="100.7109375" style="58" customWidth="1"/>
  </cols>
  <sheetData>
    <row r="1" spans="1:1" s="61" customFormat="1" ht="46.5" x14ac:dyDescent="0.35">
      <c r="A1" s="62" t="s">
        <v>301</v>
      </c>
    </row>
    <row r="2" spans="1:1" s="61" customFormat="1" ht="23.25" x14ac:dyDescent="0.35">
      <c r="A2" s="62"/>
    </row>
    <row r="3" spans="1:1" ht="63.75" customHeight="1" x14ac:dyDescent="0.25">
      <c r="A3" s="57" t="s">
        <v>306</v>
      </c>
    </row>
    <row r="5" spans="1:1" ht="15.75" x14ac:dyDescent="0.25">
      <c r="A5" s="59" t="s">
        <v>273</v>
      </c>
    </row>
    <row r="6" spans="1:1" ht="55.5" customHeight="1" x14ac:dyDescent="0.25">
      <c r="A6" s="57" t="s">
        <v>274</v>
      </c>
    </row>
    <row r="8" spans="1:1" ht="15.75" x14ac:dyDescent="0.25">
      <c r="A8" s="59" t="s">
        <v>275</v>
      </c>
    </row>
    <row r="9" spans="1:1" ht="86.25" customHeight="1" x14ac:dyDescent="0.25">
      <c r="A9" s="57" t="s">
        <v>276</v>
      </c>
    </row>
    <row r="10" spans="1:1" ht="15.75" x14ac:dyDescent="0.25">
      <c r="A10" s="57" t="s">
        <v>277</v>
      </c>
    </row>
    <row r="11" spans="1:1" ht="62.25" customHeight="1" x14ac:dyDescent="0.25">
      <c r="A11" s="60" t="s">
        <v>278</v>
      </c>
    </row>
    <row r="12" spans="1:1" ht="48.75" customHeight="1" x14ac:dyDescent="0.25">
      <c r="A12" s="60" t="s">
        <v>279</v>
      </c>
    </row>
    <row r="13" spans="1:1" ht="15.75" x14ac:dyDescent="0.25">
      <c r="A13" s="57"/>
    </row>
    <row r="14" spans="1:1" ht="15.75" x14ac:dyDescent="0.25">
      <c r="A14" s="59" t="s">
        <v>280</v>
      </c>
    </row>
    <row r="15" spans="1:1" ht="75" customHeight="1" x14ac:dyDescent="0.25">
      <c r="A15" s="57" t="s">
        <v>286</v>
      </c>
    </row>
    <row r="16" spans="1:1" ht="78" customHeight="1" x14ac:dyDescent="0.25">
      <c r="A16" s="57" t="s">
        <v>287</v>
      </c>
    </row>
    <row r="17" spans="1:1" ht="47.25" x14ac:dyDescent="0.25">
      <c r="A17" s="57" t="s">
        <v>288</v>
      </c>
    </row>
    <row r="18" spans="1:1" ht="15.75" x14ac:dyDescent="0.25">
      <c r="A18" s="57"/>
    </row>
    <row r="19" spans="1:1" ht="15.75" x14ac:dyDescent="0.25">
      <c r="A19" s="59" t="s">
        <v>281</v>
      </c>
    </row>
    <row r="20" spans="1:1" ht="53.25" customHeight="1" x14ac:dyDescent="0.25">
      <c r="A20" s="57" t="s">
        <v>282</v>
      </c>
    </row>
    <row r="21" spans="1:1" ht="45" customHeight="1" x14ac:dyDescent="0.25">
      <c r="A21" s="57" t="s">
        <v>289</v>
      </c>
    </row>
    <row r="22" spans="1:1" ht="54.75" customHeight="1" x14ac:dyDescent="0.25">
      <c r="A22" s="57" t="s">
        <v>302</v>
      </c>
    </row>
    <row r="23" spans="1:1" ht="41.25" customHeight="1" x14ac:dyDescent="0.25">
      <c r="A23" s="57" t="s">
        <v>290</v>
      </c>
    </row>
    <row r="24" spans="1:1" ht="15.75" x14ac:dyDescent="0.25">
      <c r="A24" s="57"/>
    </row>
    <row r="25" spans="1:1" ht="15.75" x14ac:dyDescent="0.25">
      <c r="A25" s="59" t="s">
        <v>283</v>
      </c>
    </row>
    <row r="26" spans="1:1" ht="54.75" customHeight="1" x14ac:dyDescent="0.25">
      <c r="A26" s="57" t="s">
        <v>291</v>
      </c>
    </row>
    <row r="27" spans="1:1" ht="18" customHeight="1" x14ac:dyDescent="0.25">
      <c r="A27" s="57" t="s">
        <v>292</v>
      </c>
    </row>
    <row r="28" spans="1:1" ht="43.5" customHeight="1" x14ac:dyDescent="0.25">
      <c r="A28" s="57" t="s">
        <v>293</v>
      </c>
    </row>
    <row r="29" spans="1:1" ht="51.75" customHeight="1" x14ac:dyDescent="0.25">
      <c r="A29" s="57" t="s">
        <v>294</v>
      </c>
    </row>
    <row r="30" spans="1:1" ht="15.75" x14ac:dyDescent="0.25">
      <c r="A30" s="57" t="s">
        <v>295</v>
      </c>
    </row>
    <row r="31" spans="1:1" ht="47.25" x14ac:dyDescent="0.25">
      <c r="A31" s="57" t="s">
        <v>296</v>
      </c>
    </row>
    <row r="32" spans="1:1" ht="15.75" x14ac:dyDescent="0.25">
      <c r="A32" s="57" t="s">
        <v>297</v>
      </c>
    </row>
    <row r="33" spans="1:1" ht="29.25" customHeight="1" x14ac:dyDescent="0.25">
      <c r="A33" s="57" t="s">
        <v>298</v>
      </c>
    </row>
    <row r="34" spans="1:1" ht="47.25" x14ac:dyDescent="0.25">
      <c r="A34" s="57" t="s">
        <v>299</v>
      </c>
    </row>
    <row r="35" spans="1:1" ht="47.25" x14ac:dyDescent="0.25">
      <c r="A35" s="57" t="s">
        <v>307</v>
      </c>
    </row>
    <row r="36" spans="1:1" ht="15.75" x14ac:dyDescent="0.25">
      <c r="A36" s="59" t="s">
        <v>284</v>
      </c>
    </row>
    <row r="37" spans="1:1" ht="31.5" x14ac:dyDescent="0.25">
      <c r="A37" s="57" t="s">
        <v>305</v>
      </c>
    </row>
    <row r="38" spans="1:1" ht="15.75" x14ac:dyDescent="0.25">
      <c r="A38" s="57" t="s">
        <v>300</v>
      </c>
    </row>
    <row r="39" spans="1:1" ht="47.25" x14ac:dyDescent="0.25">
      <c r="A39" s="57" t="s">
        <v>304</v>
      </c>
    </row>
    <row r="40" spans="1:1" ht="15.75" x14ac:dyDescent="0.25">
      <c r="A40" s="57"/>
    </row>
    <row r="41" spans="1:1" ht="15.75" x14ac:dyDescent="0.25">
      <c r="A41" s="59" t="s">
        <v>285</v>
      </c>
    </row>
    <row r="42" spans="1:1" ht="78.75" x14ac:dyDescent="0.25">
      <c r="A42" s="57" t="s">
        <v>303</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9"/>
    <col min="2" max="2" width="9.42578125" style="9" bestFit="1" customWidth="1"/>
    <col min="3" max="3" width="27.42578125" style="9" customWidth="1"/>
    <col min="4" max="16384" width="9.140625" style="9"/>
  </cols>
  <sheetData>
    <row r="1" spans="1:9" x14ac:dyDescent="0.2">
      <c r="A1" s="11"/>
      <c r="B1" s="11"/>
      <c r="C1" s="11"/>
      <c r="D1" s="11"/>
      <c r="E1" s="11"/>
      <c r="F1" s="11"/>
      <c r="G1" s="11"/>
      <c r="H1" s="11"/>
      <c r="I1" s="11"/>
    </row>
    <row r="2" spans="1:9" x14ac:dyDescent="0.2">
      <c r="A2" s="11"/>
      <c r="B2" s="11" t="s">
        <v>47</v>
      </c>
      <c r="C2" s="13"/>
      <c r="D2" s="11"/>
      <c r="E2" s="11"/>
      <c r="F2" s="11"/>
      <c r="G2" s="11"/>
      <c r="H2" s="11"/>
      <c r="I2" s="11"/>
    </row>
    <row r="3" spans="1:9" x14ac:dyDescent="0.2">
      <c r="A3" s="11"/>
      <c r="B3" s="11"/>
      <c r="C3" s="11"/>
      <c r="D3" s="11"/>
      <c r="E3" s="11"/>
      <c r="F3" s="11"/>
      <c r="G3" s="11"/>
      <c r="H3" s="11"/>
      <c r="I3" s="11"/>
    </row>
    <row r="4" spans="1:9" x14ac:dyDescent="0.2">
      <c r="A4" s="11"/>
      <c r="B4" s="11"/>
      <c r="C4" s="11"/>
      <c r="D4" s="11"/>
      <c r="E4" s="11"/>
      <c r="F4" s="11"/>
      <c r="G4" s="11"/>
      <c r="H4" s="11"/>
      <c r="I4" s="11"/>
    </row>
    <row r="5" spans="1:9" x14ac:dyDescent="0.2">
      <c r="A5" s="11"/>
      <c r="B5" s="11"/>
      <c r="C5" s="11"/>
      <c r="D5" s="11"/>
      <c r="E5" s="11"/>
      <c r="F5" s="11"/>
      <c r="G5" s="11"/>
      <c r="H5" s="11"/>
      <c r="I5" s="11"/>
    </row>
    <row r="6" spans="1:9" x14ac:dyDescent="0.2">
      <c r="A6" s="11"/>
      <c r="B6" s="11"/>
      <c r="C6" s="11"/>
      <c r="D6" s="11"/>
      <c r="E6" s="11"/>
      <c r="F6" s="11"/>
      <c r="G6" s="11"/>
      <c r="H6" s="11"/>
      <c r="I6" s="11"/>
    </row>
    <row r="7" spans="1:9" x14ac:dyDescent="0.2">
      <c r="A7" s="11"/>
      <c r="B7" s="11"/>
      <c r="C7" s="11"/>
      <c r="D7" s="11"/>
      <c r="E7" s="11"/>
      <c r="F7" s="11"/>
      <c r="G7" s="11"/>
      <c r="H7" s="11"/>
      <c r="I7" s="11"/>
    </row>
    <row r="8" spans="1:9" x14ac:dyDescent="0.2">
      <c r="A8" s="11"/>
      <c r="B8" s="11"/>
      <c r="C8" s="11"/>
      <c r="D8" s="11"/>
      <c r="E8" s="11"/>
      <c r="F8" s="11"/>
      <c r="G8" s="11"/>
      <c r="H8" s="11"/>
      <c r="I8" s="11"/>
    </row>
    <row r="9" spans="1:9" x14ac:dyDescent="0.2">
      <c r="A9" s="11"/>
      <c r="B9" s="11"/>
      <c r="C9" s="11"/>
      <c r="D9" s="11"/>
      <c r="E9" s="11"/>
      <c r="F9" s="11"/>
      <c r="G9" s="11"/>
      <c r="H9" s="11"/>
      <c r="I9" s="11"/>
    </row>
    <row r="10" spans="1:9" x14ac:dyDescent="0.2">
      <c r="A10" s="11"/>
      <c r="B10" s="11"/>
      <c r="C10" s="11"/>
      <c r="D10" s="11"/>
      <c r="E10" s="11"/>
      <c r="F10" s="11"/>
      <c r="G10" s="11"/>
      <c r="H10" s="11"/>
      <c r="I10" s="11"/>
    </row>
    <row r="11" spans="1:9" x14ac:dyDescent="0.2">
      <c r="A11" s="11"/>
      <c r="B11" s="11"/>
      <c r="C11" s="11"/>
      <c r="D11" s="11"/>
      <c r="E11" s="11"/>
      <c r="F11" s="11"/>
      <c r="G11" s="11"/>
      <c r="H11" s="11"/>
      <c r="I11" s="11"/>
    </row>
    <row r="12" spans="1:9" x14ac:dyDescent="0.2">
      <c r="A12" s="11"/>
      <c r="B12" s="11"/>
      <c r="C12" s="11"/>
      <c r="D12" s="11"/>
      <c r="E12" s="11"/>
      <c r="F12" s="11"/>
      <c r="G12" s="11"/>
      <c r="H12" s="11"/>
      <c r="I12" s="11"/>
    </row>
    <row r="13" spans="1:9" x14ac:dyDescent="0.2">
      <c r="A13" s="11"/>
      <c r="B13" s="11"/>
      <c r="C13" s="11"/>
      <c r="D13" s="11"/>
      <c r="E13" s="11"/>
      <c r="F13" s="11"/>
      <c r="G13" s="11"/>
      <c r="H13" s="11"/>
      <c r="I13" s="11"/>
    </row>
    <row r="14" spans="1:9" x14ac:dyDescent="0.2">
      <c r="A14" s="11"/>
      <c r="B14" s="11"/>
      <c r="C14" s="11"/>
      <c r="D14" s="11"/>
      <c r="E14" s="11"/>
      <c r="F14" s="11"/>
      <c r="G14" s="11"/>
      <c r="H14" s="11"/>
      <c r="I14" s="11"/>
    </row>
    <row r="15" spans="1:9" x14ac:dyDescent="0.2">
      <c r="A15" s="11"/>
      <c r="B15" s="11"/>
      <c r="C15" s="11"/>
      <c r="D15" s="11"/>
      <c r="E15" s="11"/>
      <c r="F15" s="11"/>
      <c r="G15" s="11"/>
      <c r="H15" s="11"/>
      <c r="I15" s="11"/>
    </row>
    <row r="16" spans="1:9" x14ac:dyDescent="0.2">
      <c r="A16" s="11"/>
      <c r="B16" s="11"/>
      <c r="C16" s="11"/>
      <c r="D16" s="11"/>
      <c r="E16" s="11"/>
      <c r="F16" s="11"/>
      <c r="G16" s="11"/>
      <c r="H16" s="11"/>
      <c r="I16" s="11"/>
    </row>
    <row r="17" spans="1:9" x14ac:dyDescent="0.2">
      <c r="A17" s="11"/>
      <c r="B17" s="11"/>
      <c r="C17" s="11"/>
      <c r="D17" s="11"/>
      <c r="E17" s="11"/>
      <c r="F17" s="11"/>
      <c r="G17" s="11"/>
      <c r="H17" s="11"/>
      <c r="I17" s="11"/>
    </row>
    <row r="18" spans="1:9" x14ac:dyDescent="0.2">
      <c r="A18" s="11"/>
      <c r="B18" s="11"/>
      <c r="C18" s="11"/>
      <c r="D18" s="11"/>
      <c r="E18" s="11"/>
      <c r="F18" s="11"/>
      <c r="G18" s="11"/>
      <c r="H18" s="11"/>
      <c r="I18" s="11"/>
    </row>
    <row r="19" spans="1:9" x14ac:dyDescent="0.2">
      <c r="A19" s="11"/>
      <c r="B19" s="11"/>
      <c r="C19" s="11"/>
      <c r="D19" s="11"/>
      <c r="E19" s="11"/>
      <c r="F19" s="11"/>
      <c r="G19" s="11"/>
      <c r="H19" s="11"/>
      <c r="I19" s="11"/>
    </row>
    <row r="20" spans="1:9" x14ac:dyDescent="0.2">
      <c r="A20" s="11"/>
      <c r="B20" s="11"/>
      <c r="C20" s="11"/>
      <c r="D20" s="11"/>
      <c r="E20" s="11"/>
      <c r="F20" s="11"/>
      <c r="G20" s="11"/>
      <c r="H20" s="11"/>
      <c r="I20" s="11"/>
    </row>
    <row r="21" spans="1:9" x14ac:dyDescent="0.2">
      <c r="A21" s="11"/>
      <c r="B21" s="11"/>
      <c r="C21" s="11"/>
      <c r="D21" s="11"/>
      <c r="E21" s="11"/>
      <c r="F21" s="11"/>
      <c r="G21" s="11"/>
      <c r="H21" s="11"/>
      <c r="I21" s="11"/>
    </row>
    <row r="22" spans="1:9" x14ac:dyDescent="0.2">
      <c r="A22" s="11"/>
      <c r="B22" s="11"/>
      <c r="C22" s="11"/>
      <c r="D22" s="11"/>
      <c r="E22" s="11"/>
      <c r="F22" s="11"/>
      <c r="G22" s="11"/>
      <c r="H22" s="11"/>
      <c r="I22" s="11"/>
    </row>
    <row r="23" spans="1:9" x14ac:dyDescent="0.2">
      <c r="A23" s="11"/>
      <c r="B23" s="11"/>
      <c r="C23" s="11"/>
      <c r="D23" s="11"/>
      <c r="E23" s="11"/>
      <c r="F23" s="11"/>
      <c r="G23" s="11"/>
      <c r="H23" s="11"/>
      <c r="I23" s="11"/>
    </row>
    <row r="24" spans="1:9" x14ac:dyDescent="0.2">
      <c r="A24" s="11"/>
      <c r="B24" s="11"/>
      <c r="C24" s="11"/>
      <c r="D24" s="11"/>
      <c r="E24" s="11"/>
      <c r="F24" s="11"/>
      <c r="G24" s="11"/>
      <c r="H24" s="11"/>
      <c r="I24" s="11"/>
    </row>
    <row r="25" spans="1:9" x14ac:dyDescent="0.2">
      <c r="A25" s="11"/>
      <c r="B25" s="11"/>
      <c r="C25" s="11"/>
      <c r="D25" s="11"/>
      <c r="E25" s="11"/>
      <c r="F25" s="11"/>
      <c r="G25" s="11"/>
      <c r="H25" s="11"/>
      <c r="I25" s="11"/>
    </row>
    <row r="26" spans="1:9" x14ac:dyDescent="0.2">
      <c r="A26" s="11"/>
      <c r="B26" s="11"/>
      <c r="C26" s="11"/>
      <c r="D26" s="11"/>
      <c r="E26" s="11"/>
      <c r="F26" s="11"/>
      <c r="G26" s="11"/>
      <c r="H26" s="11"/>
      <c r="I26" s="11"/>
    </row>
    <row r="27" spans="1:9" x14ac:dyDescent="0.2">
      <c r="A27" s="11"/>
      <c r="B27" s="11"/>
      <c r="C27" s="11"/>
      <c r="D27" s="11"/>
      <c r="E27" s="11"/>
      <c r="F27" s="11"/>
      <c r="G27" s="11"/>
      <c r="H27" s="11"/>
      <c r="I27" s="11"/>
    </row>
    <row r="28" spans="1:9" x14ac:dyDescent="0.2">
      <c r="A28" s="11"/>
      <c r="B28" s="11"/>
      <c r="C28" s="11"/>
      <c r="D28" s="11"/>
      <c r="E28" s="11"/>
      <c r="F28" s="11"/>
      <c r="G28" s="11"/>
      <c r="H28" s="11"/>
      <c r="I28" s="11"/>
    </row>
    <row r="29" spans="1:9" x14ac:dyDescent="0.2">
      <c r="A29" s="11"/>
      <c r="B29" s="11"/>
      <c r="C29" s="11"/>
      <c r="D29" s="11"/>
      <c r="E29" s="11"/>
      <c r="F29" s="11"/>
      <c r="G29" s="11"/>
      <c r="H29" s="11"/>
      <c r="I29" s="11"/>
    </row>
    <row r="30" spans="1:9" x14ac:dyDescent="0.2">
      <c r="A30" s="11"/>
      <c r="B30" s="11"/>
      <c r="C30" s="11"/>
      <c r="D30" s="11"/>
      <c r="E30" s="11"/>
      <c r="F30" s="11"/>
      <c r="G30" s="11"/>
      <c r="H30" s="11"/>
      <c r="I30" s="11"/>
    </row>
    <row r="31" spans="1:9" x14ac:dyDescent="0.2">
      <c r="A31" s="11"/>
      <c r="B31" s="11"/>
      <c r="C31" s="11"/>
      <c r="D31" s="11"/>
      <c r="E31" s="11"/>
      <c r="F31" s="11"/>
      <c r="G31" s="11"/>
      <c r="H31" s="11"/>
      <c r="I31" s="11"/>
    </row>
    <row r="32" spans="1:9" x14ac:dyDescent="0.2">
      <c r="A32" s="11"/>
      <c r="B32" s="11"/>
      <c r="C32" s="11"/>
      <c r="D32" s="11"/>
      <c r="E32" s="11"/>
      <c r="F32" s="11"/>
      <c r="G32" s="11"/>
      <c r="H32" s="11"/>
      <c r="I32" s="11"/>
    </row>
    <row r="33" spans="1:9" x14ac:dyDescent="0.2">
      <c r="A33" s="11"/>
      <c r="B33" s="11"/>
      <c r="C33" s="11"/>
      <c r="D33" s="11"/>
      <c r="E33" s="11"/>
      <c r="F33" s="11"/>
      <c r="G33" s="11"/>
      <c r="H33" s="11"/>
      <c r="I33" s="11"/>
    </row>
    <row r="34" spans="1:9" x14ac:dyDescent="0.2">
      <c r="A34" s="11"/>
      <c r="B34" s="11"/>
      <c r="C34" s="11"/>
      <c r="D34" s="11"/>
      <c r="E34" s="11"/>
      <c r="F34" s="11"/>
      <c r="G34" s="11"/>
      <c r="H34" s="11"/>
      <c r="I34" s="11"/>
    </row>
    <row r="35" spans="1:9" x14ac:dyDescent="0.2">
      <c r="A35" s="11"/>
      <c r="B35" s="11"/>
      <c r="C35" s="11"/>
      <c r="D35" s="11"/>
      <c r="E35" s="11"/>
      <c r="F35" s="11"/>
      <c r="G35" s="11"/>
      <c r="H35" s="11"/>
      <c r="I35" s="11"/>
    </row>
    <row r="36" spans="1:9" x14ac:dyDescent="0.2">
      <c r="A36" s="11"/>
      <c r="B36" s="11"/>
      <c r="C36" s="11"/>
      <c r="D36" s="11"/>
      <c r="E36" s="11"/>
      <c r="F36" s="11"/>
      <c r="G36" s="11"/>
      <c r="H36" s="11"/>
      <c r="I36" s="11"/>
    </row>
    <row r="37" spans="1:9" x14ac:dyDescent="0.2">
      <c r="A37" s="11"/>
      <c r="B37" s="11"/>
      <c r="C37" s="11"/>
      <c r="D37" s="11"/>
      <c r="E37" s="11"/>
      <c r="F37" s="11"/>
      <c r="G37" s="11"/>
      <c r="H37" s="11"/>
      <c r="I37" s="11"/>
    </row>
    <row r="38" spans="1:9" x14ac:dyDescent="0.2">
      <c r="A38" s="11"/>
      <c r="B38" s="11"/>
      <c r="C38" s="11"/>
      <c r="D38" s="11"/>
      <c r="E38" s="11"/>
      <c r="F38" s="11"/>
      <c r="G38" s="11"/>
      <c r="H38" s="11"/>
      <c r="I38" s="11"/>
    </row>
    <row r="39" spans="1:9" x14ac:dyDescent="0.2">
      <c r="A39" s="11"/>
      <c r="B39" s="11"/>
      <c r="C39" s="11"/>
      <c r="D39" s="11"/>
      <c r="E39" s="11"/>
      <c r="F39" s="11"/>
      <c r="G39" s="11"/>
      <c r="H39" s="11"/>
      <c r="I39" s="11"/>
    </row>
    <row r="40" spans="1:9" x14ac:dyDescent="0.2">
      <c r="A40" s="11"/>
      <c r="B40" s="11"/>
      <c r="C40" s="11"/>
      <c r="D40" s="11"/>
      <c r="E40" s="11"/>
      <c r="F40" s="11"/>
      <c r="G40" s="11"/>
      <c r="H40" s="11"/>
      <c r="I40" s="11"/>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32"/>
  <sheetViews>
    <sheetView showZeros="0" topLeftCell="B1" workbookViewId="0">
      <pane ySplit="1" topLeftCell="A2" activePane="bottomLeft" state="frozen"/>
      <selection activeCell="C2" sqref="C2"/>
      <selection pane="bottomLeft" activeCell="G5" sqref="G5"/>
    </sheetView>
  </sheetViews>
  <sheetFormatPr defaultRowHeight="11.25" x14ac:dyDescent="0.2"/>
  <cols>
    <col min="1" max="1" width="10.140625" style="9" customWidth="1"/>
    <col min="2" max="2" width="9.42578125" style="9" customWidth="1"/>
    <col min="3" max="3" width="9.5703125" style="9" bestFit="1" customWidth="1"/>
    <col min="4" max="4" width="15.28515625" style="9" customWidth="1"/>
    <col min="5" max="5" width="13.7109375" style="9" bestFit="1" customWidth="1"/>
    <col min="6" max="6" width="28.42578125" style="9" customWidth="1"/>
    <col min="7" max="7" width="54.140625" style="9" customWidth="1"/>
    <col min="8" max="8" width="2.42578125" style="9" customWidth="1"/>
    <col min="9" max="16384" width="9.140625" style="9"/>
  </cols>
  <sheetData>
    <row r="1" spans="1:8" s="4" customFormat="1" x14ac:dyDescent="0.2">
      <c r="A1" s="1" t="s">
        <v>0</v>
      </c>
      <c r="B1" s="2" t="s">
        <v>1</v>
      </c>
      <c r="C1" s="2" t="s">
        <v>22</v>
      </c>
      <c r="D1" s="35" t="s">
        <v>271</v>
      </c>
      <c r="E1" s="2" t="s">
        <v>23</v>
      </c>
      <c r="F1" s="2" t="s">
        <v>24</v>
      </c>
      <c r="G1" s="35" t="s">
        <v>25</v>
      </c>
      <c r="H1" s="36"/>
    </row>
    <row r="2" spans="1:8" x14ac:dyDescent="0.2">
      <c r="A2" s="18">
        <f>IF(ISBLANK(E2),"",Study!$C$2)</f>
        <v>0</v>
      </c>
      <c r="B2" s="19" t="str">
        <f t="shared" ref="B2:B29" si="0">IF(ISBLANK(E2),"","TS")</f>
        <v>TS</v>
      </c>
      <c r="C2" s="19">
        <v>1</v>
      </c>
      <c r="D2" s="38"/>
      <c r="E2" s="6" t="s">
        <v>44</v>
      </c>
      <c r="F2" s="6" t="s">
        <v>89</v>
      </c>
      <c r="G2" s="38"/>
      <c r="H2" s="37"/>
    </row>
    <row r="3" spans="1:8" x14ac:dyDescent="0.2">
      <c r="A3" s="18">
        <f>IF(ISBLANK(E3),"",Study!$C$2)</f>
        <v>0</v>
      </c>
      <c r="B3" s="19" t="str">
        <f t="shared" si="0"/>
        <v>TS</v>
      </c>
      <c r="C3" s="19">
        <v>1</v>
      </c>
      <c r="D3" s="38"/>
      <c r="E3" s="6" t="s">
        <v>43</v>
      </c>
      <c r="F3" s="6" t="s">
        <v>210</v>
      </c>
      <c r="G3" s="38" t="s">
        <v>46</v>
      </c>
      <c r="H3" s="37"/>
    </row>
    <row r="4" spans="1:8" x14ac:dyDescent="0.2">
      <c r="A4" s="18">
        <f>IF(ISBLANK(E4),"",Study!$C$2)</f>
        <v>0</v>
      </c>
      <c r="B4" s="19" t="str">
        <f t="shared" si="0"/>
        <v>TS</v>
      </c>
      <c r="C4" s="19">
        <v>1</v>
      </c>
      <c r="D4" s="38"/>
      <c r="E4" s="6" t="s">
        <v>72</v>
      </c>
      <c r="F4" s="6" t="s">
        <v>88</v>
      </c>
      <c r="G4" s="38"/>
      <c r="H4" s="37"/>
    </row>
    <row r="5" spans="1:8" x14ac:dyDescent="0.2">
      <c r="A5" s="18">
        <f>IF(ISBLANK(E5),"",Study!$C$2)</f>
        <v>0</v>
      </c>
      <c r="B5" s="19" t="str">
        <f t="shared" si="0"/>
        <v>TS</v>
      </c>
      <c r="C5" s="19">
        <v>1</v>
      </c>
      <c r="D5" s="38"/>
      <c r="E5" s="6" t="s">
        <v>36</v>
      </c>
      <c r="F5" s="6" t="s">
        <v>80</v>
      </c>
      <c r="G5" s="38"/>
      <c r="H5" s="37"/>
    </row>
    <row r="6" spans="1:8" x14ac:dyDescent="0.2">
      <c r="A6" s="18">
        <f>IF(ISBLANK(E6),"",Study!$C$2)</f>
        <v>0</v>
      </c>
      <c r="B6" s="19" t="str">
        <f t="shared" si="0"/>
        <v>TS</v>
      </c>
      <c r="C6" s="19">
        <v>1</v>
      </c>
      <c r="D6" s="38"/>
      <c r="E6" s="6" t="s">
        <v>69</v>
      </c>
      <c r="F6" s="6" t="s">
        <v>83</v>
      </c>
      <c r="G6" s="38"/>
      <c r="H6" s="37"/>
    </row>
    <row r="7" spans="1:8" x14ac:dyDescent="0.2">
      <c r="A7" s="18">
        <f>IF(ISBLANK(E7),"",Study!$C$2)</f>
        <v>0</v>
      </c>
      <c r="B7" s="19" t="str">
        <f t="shared" si="0"/>
        <v>TS</v>
      </c>
      <c r="C7" s="19">
        <v>1</v>
      </c>
      <c r="D7" s="38"/>
      <c r="E7" s="6" t="s">
        <v>70</v>
      </c>
      <c r="F7" s="6" t="s">
        <v>84</v>
      </c>
      <c r="G7" s="38"/>
      <c r="H7" s="37"/>
    </row>
    <row r="8" spans="1:8" x14ac:dyDescent="0.2">
      <c r="A8" s="18">
        <f>IF(ISBLANK(E8),"",Study!$C$2)</f>
        <v>0</v>
      </c>
      <c r="B8" s="19" t="str">
        <f t="shared" si="0"/>
        <v>TS</v>
      </c>
      <c r="C8" s="19">
        <v>1</v>
      </c>
      <c r="D8" s="38"/>
      <c r="E8" s="6" t="s">
        <v>37</v>
      </c>
      <c r="F8" s="6" t="s">
        <v>211</v>
      </c>
      <c r="G8" s="38"/>
      <c r="H8" s="37"/>
    </row>
    <row r="9" spans="1:8" x14ac:dyDescent="0.2">
      <c r="A9" s="18">
        <f>IF(ISBLANK(E9),"",Study!$C$2)</f>
        <v>0</v>
      </c>
      <c r="B9" s="19" t="str">
        <f t="shared" si="0"/>
        <v>TS</v>
      </c>
      <c r="C9" s="19">
        <v>1</v>
      </c>
      <c r="D9" s="38"/>
      <c r="E9" s="6" t="s">
        <v>39</v>
      </c>
      <c r="F9" s="6" t="s">
        <v>208</v>
      </c>
      <c r="G9" s="38"/>
      <c r="H9" s="37"/>
    </row>
    <row r="10" spans="1:8" x14ac:dyDescent="0.2">
      <c r="A10" s="18">
        <f>IF(ISBLANK(E10),"",Study!$C$2)</f>
        <v>0</v>
      </c>
      <c r="B10" s="19" t="str">
        <f t="shared" si="0"/>
        <v>TS</v>
      </c>
      <c r="C10" s="19">
        <v>1</v>
      </c>
      <c r="D10" s="38"/>
      <c r="E10" s="6" t="s">
        <v>40</v>
      </c>
      <c r="F10" s="6" t="s">
        <v>209</v>
      </c>
      <c r="G10" s="38"/>
      <c r="H10" s="37"/>
    </row>
    <row r="11" spans="1:8" x14ac:dyDescent="0.2">
      <c r="A11" s="30">
        <f>IF(ISBLANK(E11),"",Study!$C$2)</f>
        <v>0</v>
      </c>
      <c r="B11" s="31" t="str">
        <f t="shared" si="0"/>
        <v>TS</v>
      </c>
      <c r="C11" s="31">
        <v>1</v>
      </c>
      <c r="D11" s="38"/>
      <c r="E11" s="6" t="s">
        <v>90</v>
      </c>
      <c r="F11" s="6" t="s">
        <v>91</v>
      </c>
      <c r="G11" s="38"/>
      <c r="H11" s="37"/>
    </row>
    <row r="12" spans="1:8" x14ac:dyDescent="0.2">
      <c r="A12" s="18">
        <f>IF(ISBLANK(E12),"",Study!$C$2)</f>
        <v>0</v>
      </c>
      <c r="B12" s="19" t="str">
        <f t="shared" si="0"/>
        <v>TS</v>
      </c>
      <c r="C12" s="19">
        <v>1</v>
      </c>
      <c r="D12" s="38"/>
      <c r="E12" s="6" t="s">
        <v>34</v>
      </c>
      <c r="F12" s="6" t="s">
        <v>207</v>
      </c>
      <c r="G12" s="38"/>
      <c r="H12" s="37"/>
    </row>
    <row r="13" spans="1:8" x14ac:dyDescent="0.2">
      <c r="A13" s="18">
        <f>IF(ISBLANK(E13),"",Study!$C$2)</f>
        <v>0</v>
      </c>
      <c r="B13" s="19" t="str">
        <f t="shared" si="0"/>
        <v>TS</v>
      </c>
      <c r="C13" s="19">
        <v>1</v>
      </c>
      <c r="D13" s="38"/>
      <c r="E13" s="6" t="s">
        <v>86</v>
      </c>
      <c r="F13" s="6" t="s">
        <v>87</v>
      </c>
      <c r="G13" s="38"/>
      <c r="H13" s="37"/>
    </row>
    <row r="14" spans="1:8" x14ac:dyDescent="0.2">
      <c r="A14" s="18">
        <f>IF(ISBLANK(E14),"",Study!$C$2)</f>
        <v>0</v>
      </c>
      <c r="B14" s="19" t="str">
        <f t="shared" si="0"/>
        <v>TS</v>
      </c>
      <c r="C14" s="19">
        <v>1</v>
      </c>
      <c r="D14" s="38"/>
      <c r="E14" s="6" t="s">
        <v>71</v>
      </c>
      <c r="F14" s="6" t="s">
        <v>85</v>
      </c>
      <c r="G14" s="38"/>
      <c r="H14" s="37"/>
    </row>
    <row r="15" spans="1:8" x14ac:dyDescent="0.2">
      <c r="A15" s="18">
        <f>IF(ISBLANK(E15),"",Study!$C$2)</f>
        <v>0</v>
      </c>
      <c r="B15" s="19" t="str">
        <f t="shared" si="0"/>
        <v>TS</v>
      </c>
      <c r="C15" s="19">
        <v>1</v>
      </c>
      <c r="D15" s="38"/>
      <c r="E15" s="6" t="s">
        <v>29</v>
      </c>
      <c r="F15" s="6" t="s">
        <v>76</v>
      </c>
      <c r="G15" s="38"/>
      <c r="H15" s="37"/>
    </row>
    <row r="16" spans="1:8" x14ac:dyDescent="0.2">
      <c r="A16" s="18">
        <f>IF(ISBLANK(E16),"",Study!$C$2)</f>
        <v>0</v>
      </c>
      <c r="B16" s="19" t="str">
        <f t="shared" si="0"/>
        <v>TS</v>
      </c>
      <c r="C16" s="19">
        <v>1</v>
      </c>
      <c r="D16" s="38"/>
      <c r="E16" s="6" t="s">
        <v>28</v>
      </c>
      <c r="F16" s="6" t="s">
        <v>75</v>
      </c>
      <c r="G16" s="38"/>
      <c r="H16" s="37"/>
    </row>
    <row r="17" spans="1:8" x14ac:dyDescent="0.2">
      <c r="A17" s="18">
        <f>IF(ISBLANK(E17),"",Study!$C$2)</f>
        <v>0</v>
      </c>
      <c r="B17" s="19" t="str">
        <f t="shared" si="0"/>
        <v>TS</v>
      </c>
      <c r="C17" s="19">
        <v>1</v>
      </c>
      <c r="D17" s="38"/>
      <c r="E17" s="6" t="s">
        <v>65</v>
      </c>
      <c r="F17" s="6" t="s">
        <v>66</v>
      </c>
      <c r="G17" s="38"/>
      <c r="H17" s="37"/>
    </row>
    <row r="18" spans="1:8" x14ac:dyDescent="0.2">
      <c r="A18" s="18">
        <f>IF(ISBLANK(E18),"",Study!$C$2)</f>
        <v>0</v>
      </c>
      <c r="B18" s="19" t="str">
        <f t="shared" si="0"/>
        <v>TS</v>
      </c>
      <c r="C18" s="19">
        <v>1</v>
      </c>
      <c r="D18" s="38"/>
      <c r="E18" s="6" t="s">
        <v>27</v>
      </c>
      <c r="F18" s="6" t="s">
        <v>74</v>
      </c>
      <c r="G18" s="38"/>
      <c r="H18" s="37"/>
    </row>
    <row r="19" spans="1:8" x14ac:dyDescent="0.2">
      <c r="A19" s="18">
        <f>IF(ISBLANK(E19),"",Study!$C$2)</f>
        <v>0</v>
      </c>
      <c r="B19" s="19" t="str">
        <f t="shared" si="0"/>
        <v>TS</v>
      </c>
      <c r="C19" s="19">
        <v>1</v>
      </c>
      <c r="D19" s="38"/>
      <c r="E19" s="6" t="s">
        <v>42</v>
      </c>
      <c r="F19" s="6" t="s">
        <v>82</v>
      </c>
      <c r="G19" s="38"/>
      <c r="H19" s="37"/>
    </row>
    <row r="20" spans="1:8" x14ac:dyDescent="0.2">
      <c r="A20" s="18">
        <f>IF(ISBLANK(E20),"",Study!$C$2)</f>
        <v>0</v>
      </c>
      <c r="B20" s="19" t="str">
        <f t="shared" si="0"/>
        <v>TS</v>
      </c>
      <c r="C20" s="19">
        <v>1</v>
      </c>
      <c r="D20" s="38"/>
      <c r="E20" s="6" t="s">
        <v>26</v>
      </c>
      <c r="F20" s="6" t="s">
        <v>73</v>
      </c>
      <c r="G20" s="38"/>
      <c r="H20" s="37"/>
    </row>
    <row r="21" spans="1:8" x14ac:dyDescent="0.2">
      <c r="A21" s="18">
        <f>IF(ISBLANK(E21),"",Study!$C$2)</f>
        <v>0</v>
      </c>
      <c r="B21" s="19" t="str">
        <f t="shared" si="0"/>
        <v>TS</v>
      </c>
      <c r="C21" s="19">
        <v>1</v>
      </c>
      <c r="D21" s="38"/>
      <c r="E21" s="6" t="s">
        <v>45</v>
      </c>
      <c r="F21" s="6" t="s">
        <v>212</v>
      </c>
      <c r="G21" s="38"/>
      <c r="H21" s="37"/>
    </row>
    <row r="22" spans="1:8" x14ac:dyDescent="0.2">
      <c r="A22" s="18">
        <f>IF(ISBLANK(E22),"",Study!$C$2)</f>
        <v>0</v>
      </c>
      <c r="B22" s="19" t="str">
        <f t="shared" si="0"/>
        <v>TS</v>
      </c>
      <c r="C22" s="19">
        <v>1</v>
      </c>
      <c r="D22" s="38"/>
      <c r="E22" s="6" t="s">
        <v>30</v>
      </c>
      <c r="F22" s="6" t="s">
        <v>204</v>
      </c>
      <c r="G22" s="38"/>
      <c r="H22" s="37"/>
    </row>
    <row r="23" spans="1:8" x14ac:dyDescent="0.2">
      <c r="A23" s="18">
        <f>IF(ISBLANK(E23),"",Study!$C$2)</f>
        <v>0</v>
      </c>
      <c r="B23" s="19" t="str">
        <f t="shared" si="0"/>
        <v>TS</v>
      </c>
      <c r="C23" s="19">
        <v>1</v>
      </c>
      <c r="D23" s="38"/>
      <c r="E23" s="6" t="s">
        <v>31</v>
      </c>
      <c r="F23" s="6" t="s">
        <v>77</v>
      </c>
      <c r="G23" s="38"/>
      <c r="H23" s="37"/>
    </row>
    <row r="24" spans="1:8" x14ac:dyDescent="0.2">
      <c r="A24" s="18">
        <f>IF(ISBLANK(E24),"",Study!$C$2)</f>
        <v>0</v>
      </c>
      <c r="B24" s="19" t="str">
        <f t="shared" si="0"/>
        <v>TS</v>
      </c>
      <c r="C24" s="19">
        <v>1</v>
      </c>
      <c r="D24" s="38"/>
      <c r="E24" s="6" t="s">
        <v>33</v>
      </c>
      <c r="F24" s="6" t="s">
        <v>206</v>
      </c>
      <c r="G24" s="38"/>
      <c r="H24" s="37"/>
    </row>
    <row r="25" spans="1:8" x14ac:dyDescent="0.2">
      <c r="A25" s="18">
        <f>IF(ISBLANK(E25),"",Study!$C$2)</f>
        <v>0</v>
      </c>
      <c r="B25" s="19" t="str">
        <f t="shared" si="0"/>
        <v>TS</v>
      </c>
      <c r="C25" s="19">
        <v>1</v>
      </c>
      <c r="D25" s="38"/>
      <c r="E25" s="6" t="s">
        <v>32</v>
      </c>
      <c r="F25" s="6" t="s">
        <v>205</v>
      </c>
      <c r="G25" s="38"/>
      <c r="H25" s="37"/>
    </row>
    <row r="26" spans="1:8" x14ac:dyDescent="0.2">
      <c r="A26" s="18">
        <f>IF(ISBLANK(E26),"",Study!$C$2)</f>
        <v>0</v>
      </c>
      <c r="B26" s="19" t="str">
        <f t="shared" si="0"/>
        <v>TS</v>
      </c>
      <c r="C26" s="19">
        <v>1</v>
      </c>
      <c r="D26" s="38"/>
      <c r="E26" s="6" t="s">
        <v>38</v>
      </c>
      <c r="F26" s="6" t="s">
        <v>81</v>
      </c>
      <c r="G26" s="38"/>
      <c r="H26" s="37"/>
    </row>
    <row r="27" spans="1:8" x14ac:dyDescent="0.2">
      <c r="A27" s="18">
        <f>IF(ISBLANK(E27),"",Study!$C$2)</f>
        <v>0</v>
      </c>
      <c r="B27" s="19" t="str">
        <f t="shared" si="0"/>
        <v>TS</v>
      </c>
      <c r="C27" s="19">
        <v>1</v>
      </c>
      <c r="D27" s="38"/>
      <c r="E27" s="6" t="s">
        <v>35</v>
      </c>
      <c r="F27" s="6" t="s">
        <v>78</v>
      </c>
      <c r="G27" s="38"/>
      <c r="H27" s="37"/>
    </row>
    <row r="28" spans="1:8" x14ac:dyDescent="0.2">
      <c r="A28" s="18">
        <f>IF(ISBLANK(E28),"",Study!$C$2)</f>
        <v>0</v>
      </c>
      <c r="B28" s="19" t="str">
        <f t="shared" si="0"/>
        <v>TS</v>
      </c>
      <c r="C28" s="19">
        <v>1</v>
      </c>
      <c r="D28" s="38"/>
      <c r="E28" s="6" t="s">
        <v>41</v>
      </c>
      <c r="F28" s="6" t="s">
        <v>79</v>
      </c>
      <c r="G28" s="38"/>
      <c r="H28" s="37"/>
    </row>
    <row r="29" spans="1:8" x14ac:dyDescent="0.2">
      <c r="A29" s="18">
        <f>IF(ISBLANK(E29),"",Study!$C$2)</f>
        <v>0</v>
      </c>
      <c r="B29" s="19" t="str">
        <f t="shared" si="0"/>
        <v>TS</v>
      </c>
      <c r="C29" s="19">
        <v>1</v>
      </c>
      <c r="D29" s="38"/>
      <c r="E29" s="6" t="s">
        <v>67</v>
      </c>
      <c r="F29" s="6" t="s">
        <v>68</v>
      </c>
      <c r="G29" s="38"/>
      <c r="H29" s="37"/>
    </row>
    <row r="30" spans="1:8" x14ac:dyDescent="0.2">
      <c r="A30" s="33"/>
      <c r="B30" s="33"/>
      <c r="C30" s="33"/>
      <c r="D30" s="33"/>
      <c r="E30" s="33"/>
      <c r="F30" s="33"/>
      <c r="G30" s="33"/>
    </row>
    <row r="31" spans="1:8" x14ac:dyDescent="0.2">
      <c r="A31" s="11"/>
      <c r="B31" s="11"/>
      <c r="C31" s="11"/>
      <c r="D31" s="11"/>
      <c r="E31" s="11"/>
      <c r="F31" s="11"/>
      <c r="G31" s="11"/>
    </row>
    <row r="32" spans="1:8" x14ac:dyDescent="0.2">
      <c r="A32" s="11"/>
      <c r="B32" s="11"/>
      <c r="C32" s="11"/>
      <c r="D32" s="11"/>
      <c r="E32" s="11"/>
      <c r="F32" s="11"/>
      <c r="G32" s="11"/>
    </row>
  </sheetData>
  <sheetProtection sheet="1" objects="1" scenarios="1" selectLockedCells="1"/>
  <autoFilter ref="A1:G29"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1743075</xdr:colOff>
                <xdr:row>1</xdr:row>
                <xdr:rowOff>0</xdr:rowOff>
              </from>
              <to>
                <xdr:col>6</xdr:col>
                <xdr:colOff>9525</xdr:colOff>
                <xdr:row>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1581150</xdr:colOff>
                <xdr:row>1</xdr:row>
                <xdr:rowOff>0</xdr:rowOff>
              </from>
              <to>
                <xdr:col>5</xdr:col>
                <xdr:colOff>1743075</xdr:colOff>
                <xdr:row>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K41"/>
  <sheetViews>
    <sheetView showZeros="0" workbookViewId="0">
      <pane ySplit="1" topLeftCell="A2" activePane="bottomLeft" state="frozen"/>
      <selection activeCell="C2" sqref="C2"/>
      <selection pane="bottomLeft" activeCell="C4" sqref="C4"/>
    </sheetView>
  </sheetViews>
  <sheetFormatPr defaultRowHeight="11.25" x14ac:dyDescent="0.2"/>
  <cols>
    <col min="1" max="1" width="10.140625" style="9" customWidth="1"/>
    <col min="2" max="2" width="9.42578125" style="9" customWidth="1"/>
    <col min="3" max="3" width="10.28515625" style="9" customWidth="1"/>
    <col min="4" max="4" width="36.85546875" style="9" customWidth="1"/>
    <col min="5" max="6" width="9" style="9" bestFit="1" customWidth="1"/>
    <col min="7" max="7" width="7.5703125" style="9" customWidth="1"/>
    <col min="8" max="8" width="55.42578125" style="9" customWidth="1"/>
    <col min="9" max="10" width="9.42578125" style="9" customWidth="1"/>
    <col min="11" max="16384" width="9.140625" style="9"/>
  </cols>
  <sheetData>
    <row r="1" spans="1:11" s="4" customFormat="1" x14ac:dyDescent="0.2">
      <c r="A1" s="1" t="s">
        <v>0</v>
      </c>
      <c r="B1" s="2" t="s">
        <v>1</v>
      </c>
      <c r="C1" s="2" t="s">
        <v>18</v>
      </c>
      <c r="D1" s="2" t="s">
        <v>19</v>
      </c>
      <c r="E1" s="2" t="s">
        <v>20</v>
      </c>
      <c r="F1" s="2" t="s">
        <v>21</v>
      </c>
      <c r="G1" s="2" t="s">
        <v>272</v>
      </c>
      <c r="H1" s="35" t="s">
        <v>62</v>
      </c>
      <c r="I1" s="40"/>
      <c r="J1" s="10"/>
      <c r="K1" s="10"/>
    </row>
    <row r="2" spans="1:11" x14ac:dyDescent="0.2">
      <c r="A2" s="22">
        <f>StudyID</f>
        <v>0</v>
      </c>
      <c r="B2" s="23" t="s">
        <v>270</v>
      </c>
      <c r="C2" s="45" t="s">
        <v>48</v>
      </c>
      <c r="D2" s="25" t="s">
        <v>50</v>
      </c>
      <c r="E2" s="24" t="s">
        <v>49</v>
      </c>
      <c r="F2" s="24"/>
      <c r="G2" s="24"/>
      <c r="H2" s="39" t="s">
        <v>50</v>
      </c>
      <c r="I2" s="41"/>
      <c r="J2" s="21"/>
      <c r="K2" s="11"/>
    </row>
    <row r="3" spans="1:11" ht="52.5" x14ac:dyDescent="0.2">
      <c r="A3" s="22">
        <f>StudyID</f>
        <v>0</v>
      </c>
      <c r="B3" s="23" t="s">
        <v>270</v>
      </c>
      <c r="C3" s="45" t="s">
        <v>51</v>
      </c>
      <c r="D3" s="44" t="s">
        <v>63</v>
      </c>
      <c r="E3" s="45" t="s">
        <v>52</v>
      </c>
      <c r="F3" s="45"/>
      <c r="G3" s="45"/>
      <c r="H3" s="44" t="s">
        <v>64</v>
      </c>
      <c r="I3" s="41"/>
      <c r="J3" s="21"/>
      <c r="K3" s="11"/>
    </row>
    <row r="4" spans="1:11" x14ac:dyDescent="0.2">
      <c r="A4" s="22"/>
      <c r="B4" s="23"/>
      <c r="C4" s="45"/>
      <c r="D4" s="44"/>
      <c r="E4" s="45"/>
      <c r="F4" s="45"/>
      <c r="G4" s="45"/>
      <c r="H4" s="44"/>
      <c r="I4" s="41"/>
      <c r="J4" s="21"/>
      <c r="K4" s="11"/>
    </row>
    <row r="5" spans="1:11" x14ac:dyDescent="0.2">
      <c r="A5" s="22"/>
      <c r="B5" s="23"/>
      <c r="C5" s="45"/>
      <c r="D5" s="44"/>
      <c r="E5" s="45"/>
      <c r="F5" s="45"/>
      <c r="G5" s="45"/>
      <c r="H5" s="44"/>
      <c r="I5" s="41"/>
      <c r="J5" s="21"/>
      <c r="K5" s="11"/>
    </row>
    <row r="6" spans="1:11" x14ac:dyDescent="0.2">
      <c r="A6" s="22"/>
      <c r="B6" s="23"/>
      <c r="C6" s="45"/>
      <c r="D6" s="44"/>
      <c r="E6" s="45"/>
      <c r="F6" s="45"/>
      <c r="G6" s="45"/>
      <c r="H6" s="44"/>
      <c r="I6" s="41"/>
      <c r="J6" s="21"/>
      <c r="K6" s="11"/>
    </row>
    <row r="7" spans="1:11" x14ac:dyDescent="0.2">
      <c r="A7" s="22"/>
      <c r="B7" s="23"/>
      <c r="C7" s="45"/>
      <c r="D7" s="44"/>
      <c r="E7" s="45"/>
      <c r="F7" s="45"/>
      <c r="G7" s="45"/>
      <c r="H7" s="44"/>
      <c r="I7" s="41"/>
      <c r="J7" s="21"/>
      <c r="K7" s="11"/>
    </row>
    <row r="8" spans="1:11" x14ac:dyDescent="0.2">
      <c r="A8" s="22"/>
      <c r="B8" s="23"/>
      <c r="C8" s="45"/>
      <c r="D8" s="44"/>
      <c r="E8" s="45"/>
      <c r="F8" s="45"/>
      <c r="G8" s="45"/>
      <c r="H8" s="44"/>
      <c r="I8" s="41"/>
      <c r="J8" s="21"/>
      <c r="K8" s="11"/>
    </row>
    <row r="9" spans="1:11" x14ac:dyDescent="0.2">
      <c r="A9" s="22"/>
      <c r="B9" s="23"/>
      <c r="C9" s="45"/>
      <c r="D9" s="44"/>
      <c r="E9" s="45"/>
      <c r="F9" s="45"/>
      <c r="G9" s="45"/>
      <c r="H9" s="44"/>
      <c r="I9" s="41"/>
      <c r="J9" s="21"/>
      <c r="K9" s="11"/>
    </row>
    <row r="10" spans="1:11" x14ac:dyDescent="0.2">
      <c r="A10" s="22"/>
      <c r="B10" s="23"/>
      <c r="C10" s="45"/>
      <c r="D10" s="44"/>
      <c r="E10" s="45"/>
      <c r="F10" s="45"/>
      <c r="G10" s="45"/>
      <c r="H10" s="44"/>
      <c r="I10" s="41"/>
      <c r="J10" s="21"/>
      <c r="K10" s="11"/>
    </row>
    <row r="11" spans="1:11" x14ac:dyDescent="0.2">
      <c r="A11" s="22"/>
      <c r="B11" s="23"/>
      <c r="C11" s="45"/>
      <c r="D11" s="44"/>
      <c r="E11" s="45"/>
      <c r="F11" s="45"/>
      <c r="G11" s="45"/>
      <c r="H11" s="44"/>
      <c r="I11" s="41"/>
      <c r="J11" s="21"/>
      <c r="K11" s="11"/>
    </row>
    <row r="12" spans="1:11" x14ac:dyDescent="0.2">
      <c r="A12" s="22"/>
      <c r="B12" s="23"/>
      <c r="C12" s="45"/>
      <c r="D12" s="44"/>
      <c r="E12" s="45"/>
      <c r="F12" s="45"/>
      <c r="G12" s="45"/>
      <c r="H12" s="44"/>
      <c r="I12" s="41"/>
      <c r="J12" s="21"/>
      <c r="K12" s="11"/>
    </row>
    <row r="13" spans="1:11" x14ac:dyDescent="0.2">
      <c r="A13" s="22"/>
      <c r="B13" s="23"/>
      <c r="C13" s="45"/>
      <c r="D13" s="44"/>
      <c r="E13" s="45"/>
      <c r="F13" s="45"/>
      <c r="G13" s="45"/>
      <c r="H13" s="44"/>
      <c r="I13" s="41"/>
      <c r="J13" s="21"/>
      <c r="K13" s="11"/>
    </row>
    <row r="14" spans="1:11" x14ac:dyDescent="0.2">
      <c r="A14" s="22"/>
      <c r="B14" s="23"/>
      <c r="C14" s="45"/>
      <c r="D14" s="44"/>
      <c r="E14" s="45"/>
      <c r="F14" s="45"/>
      <c r="G14" s="45"/>
      <c r="H14" s="44"/>
      <c r="I14" s="41"/>
      <c r="J14" s="21"/>
      <c r="K14" s="11"/>
    </row>
    <row r="15" spans="1:11" x14ac:dyDescent="0.2">
      <c r="A15" s="22"/>
      <c r="B15" s="23"/>
      <c r="C15" s="45"/>
      <c r="D15" s="44"/>
      <c r="E15" s="45"/>
      <c r="F15" s="45"/>
      <c r="G15" s="45"/>
      <c r="H15" s="44"/>
      <c r="I15" s="41"/>
      <c r="J15" s="21"/>
      <c r="K15" s="11"/>
    </row>
    <row r="16" spans="1:11" x14ac:dyDescent="0.2">
      <c r="A16" s="22"/>
      <c r="B16" s="23"/>
      <c r="C16" s="45"/>
      <c r="D16" s="44"/>
      <c r="E16" s="45"/>
      <c r="F16" s="45"/>
      <c r="G16" s="45"/>
      <c r="H16" s="44"/>
      <c r="I16" s="41"/>
      <c r="J16" s="21"/>
      <c r="K16" s="11"/>
    </row>
    <row r="17" spans="1:11" x14ac:dyDescent="0.2">
      <c r="A17" s="22"/>
      <c r="B17" s="23"/>
      <c r="C17" s="45"/>
      <c r="D17" s="44"/>
      <c r="E17" s="45"/>
      <c r="F17" s="45"/>
      <c r="G17" s="45"/>
      <c r="H17" s="44"/>
      <c r="I17" s="41"/>
      <c r="J17" s="21"/>
      <c r="K17" s="11"/>
    </row>
    <row r="18" spans="1:11" x14ac:dyDescent="0.2">
      <c r="A18" s="22"/>
      <c r="B18" s="23"/>
      <c r="C18" s="45"/>
      <c r="D18" s="44"/>
      <c r="E18" s="45"/>
      <c r="F18" s="45"/>
      <c r="G18" s="45"/>
      <c r="H18" s="44"/>
      <c r="I18" s="41"/>
      <c r="J18" s="21"/>
      <c r="K18" s="11"/>
    </row>
    <row r="19" spans="1:11" x14ac:dyDescent="0.2">
      <c r="A19" s="22"/>
      <c r="B19" s="23"/>
      <c r="C19" s="45"/>
      <c r="D19" s="44"/>
      <c r="E19" s="45"/>
      <c r="F19" s="45"/>
      <c r="G19" s="45"/>
      <c r="H19" s="44"/>
      <c r="I19" s="41"/>
      <c r="J19" s="21"/>
      <c r="K19" s="11"/>
    </row>
    <row r="20" spans="1:11" x14ac:dyDescent="0.2">
      <c r="A20" s="22"/>
      <c r="B20" s="23"/>
      <c r="C20" s="45"/>
      <c r="D20" s="44"/>
      <c r="E20" s="45"/>
      <c r="F20" s="45"/>
      <c r="G20" s="45"/>
      <c r="H20" s="44"/>
      <c r="I20" s="41"/>
      <c r="J20" s="21"/>
      <c r="K20" s="11"/>
    </row>
    <row r="21" spans="1:11" x14ac:dyDescent="0.2">
      <c r="A21" s="22"/>
      <c r="B21" s="23"/>
      <c r="C21" s="45"/>
      <c r="D21" s="44"/>
      <c r="E21" s="45"/>
      <c r="F21" s="45"/>
      <c r="G21" s="45"/>
      <c r="H21" s="44"/>
      <c r="I21" s="41"/>
      <c r="J21" s="21"/>
      <c r="K21" s="11"/>
    </row>
    <row r="22" spans="1:11" x14ac:dyDescent="0.2">
      <c r="A22" s="22"/>
      <c r="B22" s="23"/>
      <c r="C22" s="45"/>
      <c r="D22" s="44"/>
      <c r="E22" s="45"/>
      <c r="F22" s="45"/>
      <c r="G22" s="45"/>
      <c r="H22" s="44"/>
      <c r="I22" s="41"/>
      <c r="J22" s="21"/>
      <c r="K22" s="11"/>
    </row>
    <row r="23" spans="1:11" x14ac:dyDescent="0.2">
      <c r="A23" s="22"/>
      <c r="B23" s="23"/>
      <c r="C23" s="45"/>
      <c r="D23" s="44"/>
      <c r="E23" s="45"/>
      <c r="F23" s="45"/>
      <c r="G23" s="45"/>
      <c r="H23" s="44"/>
      <c r="I23" s="41"/>
      <c r="J23" s="21"/>
      <c r="K23" s="11"/>
    </row>
    <row r="24" spans="1:11" x14ac:dyDescent="0.2">
      <c r="A24" s="22"/>
      <c r="B24" s="23"/>
      <c r="C24" s="45"/>
      <c r="D24" s="44"/>
      <c r="E24" s="45"/>
      <c r="F24" s="45"/>
      <c r="G24" s="45"/>
      <c r="H24" s="44"/>
      <c r="I24" s="41"/>
      <c r="J24" s="21"/>
      <c r="K24" s="11"/>
    </row>
    <row r="25" spans="1:11" x14ac:dyDescent="0.2">
      <c r="A25" s="22"/>
      <c r="B25" s="23"/>
      <c r="C25" s="45"/>
      <c r="D25" s="44"/>
      <c r="E25" s="45"/>
      <c r="F25" s="45"/>
      <c r="G25" s="45"/>
      <c r="H25" s="44"/>
      <c r="I25" s="41"/>
      <c r="J25" s="21"/>
      <c r="K25" s="11"/>
    </row>
    <row r="26" spans="1:11" x14ac:dyDescent="0.2">
      <c r="A26" s="22"/>
      <c r="B26" s="23"/>
      <c r="C26" s="45"/>
      <c r="D26" s="44"/>
      <c r="E26" s="45"/>
      <c r="F26" s="45"/>
      <c r="G26" s="45"/>
      <c r="H26" s="44"/>
      <c r="I26" s="41"/>
      <c r="J26" s="21"/>
      <c r="K26" s="11"/>
    </row>
    <row r="27" spans="1:11" x14ac:dyDescent="0.2">
      <c r="A27" s="22"/>
      <c r="B27" s="23"/>
      <c r="C27" s="45"/>
      <c r="D27" s="44"/>
      <c r="E27" s="45"/>
      <c r="F27" s="45"/>
      <c r="G27" s="45"/>
      <c r="H27" s="44"/>
      <c r="I27" s="41"/>
      <c r="J27" s="21"/>
      <c r="K27" s="11"/>
    </row>
    <row r="28" spans="1:11" x14ac:dyDescent="0.2">
      <c r="A28" s="22"/>
      <c r="B28" s="23"/>
      <c r="C28" s="45"/>
      <c r="D28" s="44"/>
      <c r="E28" s="45"/>
      <c r="F28" s="45"/>
      <c r="G28" s="45"/>
      <c r="H28" s="44"/>
      <c r="I28" s="41"/>
      <c r="J28" s="21"/>
      <c r="K28" s="11"/>
    </row>
    <row r="29" spans="1:11" x14ac:dyDescent="0.2">
      <c r="A29" s="22"/>
      <c r="B29" s="23"/>
      <c r="C29" s="45"/>
      <c r="D29" s="44"/>
      <c r="E29" s="45"/>
      <c r="F29" s="45"/>
      <c r="G29" s="45"/>
      <c r="H29" s="44"/>
      <c r="I29" s="41"/>
      <c r="J29" s="21"/>
      <c r="K29" s="11"/>
    </row>
    <row r="30" spans="1:11" x14ac:dyDescent="0.2">
      <c r="A30" s="22"/>
      <c r="B30" s="23"/>
      <c r="C30" s="45"/>
      <c r="D30" s="44"/>
      <c r="E30" s="45"/>
      <c r="F30" s="45"/>
      <c r="G30" s="45"/>
      <c r="H30" s="44"/>
      <c r="I30" s="41"/>
      <c r="J30" s="21"/>
      <c r="K30" s="11"/>
    </row>
    <row r="31" spans="1:11" x14ac:dyDescent="0.2">
      <c r="A31" s="22"/>
      <c r="B31" s="23"/>
      <c r="C31" s="45"/>
      <c r="D31" s="44"/>
      <c r="E31" s="45"/>
      <c r="F31" s="45"/>
      <c r="G31" s="45"/>
      <c r="H31" s="44"/>
      <c r="I31" s="41"/>
      <c r="J31" s="21"/>
      <c r="K31" s="11"/>
    </row>
    <row r="32" spans="1:11" x14ac:dyDescent="0.2">
      <c r="A32" s="22"/>
      <c r="B32" s="23"/>
      <c r="C32" s="45"/>
      <c r="D32" s="44"/>
      <c r="E32" s="45"/>
      <c r="F32" s="45"/>
      <c r="G32" s="45"/>
      <c r="H32" s="44"/>
      <c r="I32" s="41"/>
      <c r="J32" s="21"/>
      <c r="K32" s="11"/>
    </row>
    <row r="33" spans="1:11" x14ac:dyDescent="0.2">
      <c r="A33" s="22"/>
      <c r="B33" s="23"/>
      <c r="C33" s="45"/>
      <c r="D33" s="44"/>
      <c r="E33" s="45"/>
      <c r="F33" s="45"/>
      <c r="G33" s="45"/>
      <c r="H33" s="44"/>
      <c r="I33" s="41"/>
      <c r="J33" s="21"/>
      <c r="K33" s="11"/>
    </row>
    <row r="34" spans="1:11" x14ac:dyDescent="0.2">
      <c r="A34" s="22"/>
      <c r="B34" s="23"/>
      <c r="C34" s="45"/>
      <c r="D34" s="44"/>
      <c r="E34" s="45"/>
      <c r="F34" s="45"/>
      <c r="G34" s="45"/>
      <c r="H34" s="44"/>
      <c r="I34" s="41"/>
      <c r="J34" s="21"/>
      <c r="K34" s="11"/>
    </row>
    <row r="35" spans="1:11" x14ac:dyDescent="0.2">
      <c r="A35" s="22"/>
      <c r="B35" s="23"/>
      <c r="C35" s="45"/>
      <c r="D35" s="44"/>
      <c r="E35" s="45"/>
      <c r="F35" s="45"/>
      <c r="G35" s="45"/>
      <c r="H35" s="44"/>
      <c r="I35" s="41"/>
      <c r="J35" s="21"/>
      <c r="K35" s="11"/>
    </row>
    <row r="36" spans="1:11" x14ac:dyDescent="0.2">
      <c r="A36" s="22"/>
      <c r="B36" s="23"/>
      <c r="C36" s="45"/>
      <c r="D36" s="44"/>
      <c r="E36" s="45"/>
      <c r="F36" s="45"/>
      <c r="G36" s="45"/>
      <c r="H36" s="44"/>
      <c r="I36" s="41"/>
      <c r="J36" s="21"/>
      <c r="K36" s="11"/>
    </row>
    <row r="37" spans="1:11" x14ac:dyDescent="0.2">
      <c r="A37" s="22"/>
      <c r="B37" s="23"/>
      <c r="C37" s="45"/>
      <c r="D37" s="44"/>
      <c r="E37" s="45"/>
      <c r="F37" s="45"/>
      <c r="G37" s="45"/>
      <c r="H37" s="44"/>
      <c r="I37" s="41"/>
      <c r="J37" s="21"/>
      <c r="K37" s="11"/>
    </row>
    <row r="38" spans="1:11" x14ac:dyDescent="0.2">
      <c r="A38" s="22"/>
      <c r="B38" s="23"/>
      <c r="C38" s="45"/>
      <c r="D38" s="44"/>
      <c r="E38" s="45"/>
      <c r="F38" s="45"/>
      <c r="G38" s="45"/>
      <c r="H38" s="44"/>
      <c r="I38" s="41"/>
      <c r="J38" s="21"/>
      <c r="K38" s="11"/>
    </row>
    <row r="39" spans="1:11" x14ac:dyDescent="0.2">
      <c r="A39" s="22"/>
      <c r="B39" s="23"/>
      <c r="C39" s="45"/>
      <c r="D39" s="44"/>
      <c r="E39" s="45"/>
      <c r="F39" s="45"/>
      <c r="G39" s="45"/>
      <c r="H39" s="44"/>
      <c r="I39" s="41"/>
      <c r="J39" s="21"/>
      <c r="K39" s="11"/>
    </row>
    <row r="40" spans="1:11" x14ac:dyDescent="0.2">
      <c r="A40" s="42"/>
      <c r="B40" s="43"/>
      <c r="C40" s="45"/>
      <c r="D40" s="44"/>
      <c r="E40" s="45"/>
      <c r="F40" s="45"/>
      <c r="G40" s="45"/>
      <c r="H40" s="44"/>
      <c r="I40" s="41"/>
      <c r="J40" s="21"/>
      <c r="K40" s="11"/>
    </row>
    <row r="41" spans="1:11" x14ac:dyDescent="0.2">
      <c r="A41" s="34"/>
      <c r="B41" s="34"/>
      <c r="C41" s="34"/>
      <c r="D41" s="34"/>
      <c r="E41" s="34"/>
      <c r="F41" s="34"/>
      <c r="G41" s="34"/>
      <c r="H41" s="34"/>
    </row>
  </sheetData>
  <sheetProtection sheet="1" objects="1" scenarios="1" selectLockedCells="1"/>
  <phoneticPr fontId="1" type="noConversion"/>
  <dataValidations count="1">
    <dataValidation type="list" allowBlank="1" showInputMessage="1" showErrorMessage="1" sqref="E2 E8:E9 E11:E13 E6 E16:E40"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3</xdr:row>
                <xdr:rowOff>0</xdr:rowOff>
              </from>
              <to>
                <xdr:col>8</xdr:col>
                <xdr:colOff>9525</xdr:colOff>
                <xdr:row>4</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3"/>
  <sheetViews>
    <sheetView workbookViewId="0"/>
  </sheetViews>
  <sheetFormatPr defaultRowHeight="12.75" x14ac:dyDescent="0.2"/>
  <cols>
    <col min="1" max="1" width="17.140625" customWidth="1"/>
    <col min="2" max="2" width="8.7109375" bestFit="1" customWidth="1"/>
    <col min="3" max="4" width="12" bestFit="1" customWidth="1"/>
  </cols>
  <sheetData>
    <row r="1" spans="1:4" ht="36.75" customHeight="1" x14ac:dyDescent="0.2">
      <c r="A1" s="14"/>
      <c r="B1" s="15" t="s">
        <v>53</v>
      </c>
      <c r="C1" s="20" t="s">
        <v>54</v>
      </c>
      <c r="D1" s="15" t="s">
        <v>55</v>
      </c>
    </row>
    <row r="2" spans="1:4" x14ac:dyDescent="0.2">
      <c r="A2" s="16" t="s">
        <v>56</v>
      </c>
      <c r="B2" s="14" t="s">
        <v>57</v>
      </c>
      <c r="C2" s="14" t="s">
        <v>60</v>
      </c>
      <c r="D2" s="14" t="s">
        <v>58</v>
      </c>
    </row>
    <row r="3" spans="1:4" x14ac:dyDescent="0.2">
      <c r="A3" s="16" t="s">
        <v>59</v>
      </c>
      <c r="B3" s="14" t="s">
        <v>57</v>
      </c>
      <c r="C3" s="17" t="s">
        <v>61</v>
      </c>
      <c r="D3" s="14" t="s">
        <v>58</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K41"/>
  <sheetViews>
    <sheetView showZeros="0" workbookViewId="0">
      <pane ySplit="1" topLeftCell="A2" activePane="bottomLeft" state="frozen"/>
      <selection activeCell="C2" sqref="C2"/>
      <selection pane="bottomLeft" activeCell="C2" sqref="C2"/>
    </sheetView>
  </sheetViews>
  <sheetFormatPr defaultRowHeight="11.25" x14ac:dyDescent="0.2"/>
  <cols>
    <col min="1" max="1" width="10.140625" style="9" customWidth="1"/>
    <col min="2" max="2" width="9.42578125" style="9" customWidth="1"/>
    <col min="3" max="3" width="10.28515625" style="9" customWidth="1"/>
    <col min="4" max="4" width="21.42578125" style="9" customWidth="1"/>
    <col min="5" max="5" width="8.42578125" style="9" bestFit="1" customWidth="1"/>
    <col min="6" max="6" width="9.85546875" style="9" customWidth="1"/>
    <col min="7" max="7" width="19.28515625" style="9" customWidth="1"/>
    <col min="8" max="9" width="19.7109375" style="9" customWidth="1"/>
    <col min="10" max="10" width="11.140625" style="9" customWidth="1"/>
    <col min="11" max="16384" width="9.140625" style="9"/>
  </cols>
  <sheetData>
    <row r="1" spans="1:11" s="4" customFormat="1" x14ac:dyDescent="0.2">
      <c r="A1" s="1" t="s">
        <v>0</v>
      </c>
      <c r="B1" s="2" t="s">
        <v>1</v>
      </c>
      <c r="C1" s="2" t="s">
        <v>4</v>
      </c>
      <c r="D1" s="2" t="s">
        <v>5</v>
      </c>
      <c r="E1" s="2" t="s">
        <v>13</v>
      </c>
      <c r="F1" s="2" t="s">
        <v>2</v>
      </c>
      <c r="G1" s="2" t="s">
        <v>3</v>
      </c>
      <c r="H1" s="2" t="s">
        <v>14</v>
      </c>
      <c r="I1" s="2" t="s">
        <v>15</v>
      </c>
      <c r="J1" s="3" t="s">
        <v>6</v>
      </c>
      <c r="K1" s="36"/>
    </row>
    <row r="2" spans="1:11" x14ac:dyDescent="0.2">
      <c r="A2" s="18"/>
      <c r="B2" s="19"/>
      <c r="C2" s="50"/>
      <c r="D2" s="52"/>
      <c r="E2" s="50"/>
      <c r="F2" s="46"/>
      <c r="G2" s="28"/>
      <c r="H2" s="52"/>
      <c r="I2" s="52"/>
      <c r="J2" s="46"/>
      <c r="K2" s="37"/>
    </row>
    <row r="3" spans="1:11" x14ac:dyDescent="0.2">
      <c r="A3" s="18"/>
      <c r="B3" s="19"/>
      <c r="C3" s="50"/>
      <c r="D3" s="52"/>
      <c r="E3" s="50"/>
      <c r="F3" s="46"/>
      <c r="G3" s="28"/>
      <c r="H3" s="52"/>
      <c r="I3" s="52"/>
      <c r="J3" s="46"/>
      <c r="K3" s="37"/>
    </row>
    <row r="4" spans="1:11" x14ac:dyDescent="0.2">
      <c r="A4" s="18"/>
      <c r="B4" s="19"/>
      <c r="C4" s="50"/>
      <c r="D4" s="52"/>
      <c r="E4" s="50"/>
      <c r="F4" s="46"/>
      <c r="G4" s="28"/>
      <c r="H4" s="52"/>
      <c r="I4" s="52"/>
      <c r="J4" s="46"/>
      <c r="K4" s="37"/>
    </row>
    <row r="5" spans="1:11" x14ac:dyDescent="0.2">
      <c r="A5" s="18"/>
      <c r="B5" s="19"/>
      <c r="C5" s="50"/>
      <c r="D5" s="52"/>
      <c r="E5" s="50"/>
      <c r="F5" s="46"/>
      <c r="G5" s="28"/>
      <c r="H5" s="52"/>
      <c r="I5" s="52"/>
      <c r="J5" s="46"/>
      <c r="K5" s="37"/>
    </row>
    <row r="6" spans="1:11" x14ac:dyDescent="0.2">
      <c r="A6" s="18"/>
      <c r="B6" s="19"/>
      <c r="C6" s="50"/>
      <c r="D6" s="52"/>
      <c r="E6" s="50"/>
      <c r="F6" s="46"/>
      <c r="G6" s="28"/>
      <c r="H6" s="52"/>
      <c r="I6" s="52"/>
      <c r="J6" s="46"/>
      <c r="K6" s="37"/>
    </row>
    <row r="7" spans="1:11" x14ac:dyDescent="0.2">
      <c r="A7" s="18"/>
      <c r="B7" s="19"/>
      <c r="C7" s="50"/>
      <c r="D7" s="52"/>
      <c r="E7" s="50"/>
      <c r="F7" s="50"/>
      <c r="G7" s="28"/>
      <c r="H7" s="52"/>
      <c r="I7" s="52"/>
      <c r="J7" s="46"/>
      <c r="K7" s="37"/>
    </row>
    <row r="8" spans="1:11" x14ac:dyDescent="0.2">
      <c r="A8" s="18"/>
      <c r="B8" s="19"/>
      <c r="C8" s="50"/>
      <c r="D8" s="52"/>
      <c r="E8" s="7"/>
      <c r="F8" s="46"/>
      <c r="G8" s="28"/>
      <c r="H8" s="27"/>
      <c r="I8" s="27"/>
      <c r="J8" s="12"/>
      <c r="K8" s="37"/>
    </row>
    <row r="9" spans="1:11" x14ac:dyDescent="0.2">
      <c r="A9" s="18"/>
      <c r="B9" s="19"/>
      <c r="C9" s="50"/>
      <c r="D9" s="52"/>
      <c r="E9" s="7"/>
      <c r="F9" s="46"/>
      <c r="G9" s="28"/>
      <c r="H9" s="27"/>
      <c r="I9" s="27"/>
      <c r="J9" s="12"/>
      <c r="K9" s="37"/>
    </row>
    <row r="10" spans="1:11" x14ac:dyDescent="0.2">
      <c r="A10" s="18"/>
      <c r="B10" s="19"/>
      <c r="C10" s="50"/>
      <c r="D10" s="52"/>
      <c r="E10" s="50"/>
      <c r="F10" s="46"/>
      <c r="G10" s="28"/>
      <c r="H10" s="27"/>
      <c r="I10" s="27"/>
      <c r="J10" s="12"/>
      <c r="K10" s="37"/>
    </row>
    <row r="11" spans="1:11" x14ac:dyDescent="0.2">
      <c r="A11" s="18"/>
      <c r="B11" s="19"/>
      <c r="C11" s="50"/>
      <c r="D11" s="52"/>
      <c r="E11" s="50"/>
      <c r="F11" s="46"/>
      <c r="G11" s="28"/>
      <c r="H11" s="27"/>
      <c r="I11" s="46"/>
      <c r="J11" s="46"/>
      <c r="K11" s="37"/>
    </row>
    <row r="12" spans="1:11" x14ac:dyDescent="0.2">
      <c r="A12" s="18"/>
      <c r="B12" s="19"/>
      <c r="C12" s="50"/>
      <c r="D12" s="52"/>
      <c r="E12" s="7"/>
      <c r="F12" s="46"/>
      <c r="G12" s="28"/>
      <c r="H12" s="27"/>
      <c r="I12" s="46"/>
      <c r="J12" s="46"/>
      <c r="K12" s="37"/>
    </row>
    <row r="13" spans="1:11" x14ac:dyDescent="0.2">
      <c r="A13" s="18"/>
      <c r="B13" s="19"/>
      <c r="C13" s="50"/>
      <c r="D13" s="52"/>
      <c r="E13" s="7"/>
      <c r="F13" s="46"/>
      <c r="G13" s="28"/>
      <c r="H13" s="27"/>
      <c r="I13" s="27"/>
      <c r="J13" s="12"/>
      <c r="K13" s="37"/>
    </row>
    <row r="14" spans="1:11" x14ac:dyDescent="0.2">
      <c r="A14" s="18"/>
      <c r="B14" s="19"/>
      <c r="C14" s="50"/>
      <c r="D14" s="52"/>
      <c r="E14" s="7"/>
      <c r="F14" s="46"/>
      <c r="G14" s="28"/>
      <c r="H14" s="27"/>
      <c r="I14" s="27"/>
      <c r="J14" s="12"/>
      <c r="K14" s="37"/>
    </row>
    <row r="15" spans="1:11" x14ac:dyDescent="0.2">
      <c r="A15" s="18"/>
      <c r="B15" s="19"/>
      <c r="C15" s="50"/>
      <c r="D15" s="52"/>
      <c r="E15" s="7"/>
      <c r="F15" s="46"/>
      <c r="G15" s="28"/>
      <c r="H15" s="27"/>
      <c r="I15" s="27"/>
      <c r="J15" s="12"/>
      <c r="K15" s="37"/>
    </row>
    <row r="16" spans="1:11" x14ac:dyDescent="0.2">
      <c r="A16" s="18"/>
      <c r="B16" s="19"/>
      <c r="C16" s="50"/>
      <c r="D16" s="52"/>
      <c r="E16" s="7"/>
      <c r="F16" s="46"/>
      <c r="G16" s="28"/>
      <c r="H16" s="27"/>
      <c r="I16" s="27"/>
      <c r="J16" s="12"/>
      <c r="K16" s="37"/>
    </row>
    <row r="17" spans="1:11" x14ac:dyDescent="0.2">
      <c r="A17" s="18"/>
      <c r="B17" s="19"/>
      <c r="C17" s="50"/>
      <c r="D17" s="46"/>
      <c r="E17" s="46"/>
      <c r="F17" s="46"/>
      <c r="G17" s="28"/>
      <c r="H17" s="27"/>
      <c r="I17" s="52"/>
      <c r="J17" s="46"/>
      <c r="K17" s="37"/>
    </row>
    <row r="18" spans="1:11" x14ac:dyDescent="0.2">
      <c r="A18" s="18"/>
      <c r="B18" s="19"/>
      <c r="C18" s="50"/>
      <c r="D18" s="46"/>
      <c r="E18" s="46"/>
      <c r="F18" s="50"/>
      <c r="G18" s="28"/>
      <c r="H18" s="27"/>
      <c r="I18" s="52"/>
      <c r="J18" s="46"/>
      <c r="K18" s="37"/>
    </row>
    <row r="19" spans="1:11" x14ac:dyDescent="0.2">
      <c r="A19" s="18"/>
      <c r="B19" s="19"/>
      <c r="C19" s="50"/>
      <c r="D19" s="27"/>
      <c r="E19" s="7"/>
      <c r="F19" s="46"/>
      <c r="G19" s="28"/>
      <c r="H19" s="27"/>
      <c r="I19" s="27"/>
      <c r="J19" s="12"/>
      <c r="K19" s="37"/>
    </row>
    <row r="20" spans="1:11" x14ac:dyDescent="0.2">
      <c r="A20" s="18"/>
      <c r="B20" s="19"/>
      <c r="C20" s="50"/>
      <c r="D20" s="27"/>
      <c r="E20" s="7"/>
      <c r="F20" s="50"/>
      <c r="G20" s="28"/>
      <c r="H20" s="27"/>
      <c r="I20" s="27"/>
      <c r="J20" s="12"/>
      <c r="K20" s="37"/>
    </row>
    <row r="21" spans="1:11" x14ac:dyDescent="0.2">
      <c r="A21" s="18"/>
      <c r="B21" s="19"/>
      <c r="C21" s="50"/>
      <c r="D21" s="27"/>
      <c r="E21" s="7"/>
      <c r="F21" s="50"/>
      <c r="G21" s="28"/>
      <c r="H21" s="27"/>
      <c r="I21" s="27"/>
      <c r="J21" s="12"/>
      <c r="K21" s="37"/>
    </row>
    <row r="22" spans="1:11" x14ac:dyDescent="0.2">
      <c r="A22" s="18"/>
      <c r="B22" s="19"/>
      <c r="C22" s="50"/>
      <c r="D22" s="27"/>
      <c r="E22" s="7"/>
      <c r="F22" s="50"/>
      <c r="G22" s="28"/>
      <c r="H22" s="27"/>
      <c r="I22" s="27"/>
      <c r="J22" s="12"/>
      <c r="K22" s="37"/>
    </row>
    <row r="23" spans="1:11" x14ac:dyDescent="0.2">
      <c r="A23" s="18"/>
      <c r="B23" s="19"/>
      <c r="C23" s="50"/>
      <c r="D23" s="27"/>
      <c r="E23" s="7"/>
      <c r="F23" s="50"/>
      <c r="G23" s="28"/>
      <c r="H23" s="27"/>
      <c r="I23" s="27"/>
      <c r="J23" s="12"/>
      <c r="K23" s="37"/>
    </row>
    <row r="24" spans="1:11" x14ac:dyDescent="0.2">
      <c r="A24" s="18"/>
      <c r="B24" s="19"/>
      <c r="C24" s="50"/>
      <c r="D24" s="27"/>
      <c r="E24" s="7"/>
      <c r="F24" s="50"/>
      <c r="G24" s="28"/>
      <c r="H24" s="27"/>
      <c r="I24" s="27"/>
      <c r="J24" s="12"/>
      <c r="K24" s="37"/>
    </row>
    <row r="25" spans="1:11" x14ac:dyDescent="0.2">
      <c r="A25" s="18"/>
      <c r="B25" s="19"/>
      <c r="C25" s="50"/>
      <c r="D25" s="27"/>
      <c r="E25" s="7"/>
      <c r="F25" s="50"/>
      <c r="G25" s="28"/>
      <c r="H25" s="27"/>
      <c r="I25" s="27"/>
      <c r="J25" s="12"/>
      <c r="K25" s="37"/>
    </row>
    <row r="26" spans="1:11" x14ac:dyDescent="0.2">
      <c r="A26" s="18"/>
      <c r="B26" s="19"/>
      <c r="C26" s="7"/>
      <c r="D26" s="27"/>
      <c r="E26" s="7"/>
      <c r="F26" s="50"/>
      <c r="G26" s="28"/>
      <c r="H26" s="27"/>
      <c r="I26" s="27"/>
      <c r="J26" s="12"/>
      <c r="K26" s="37"/>
    </row>
    <row r="27" spans="1:11" x14ac:dyDescent="0.2">
      <c r="A27" s="18"/>
      <c r="B27" s="19"/>
      <c r="C27" s="7"/>
      <c r="D27" s="27"/>
      <c r="E27" s="7"/>
      <c r="F27" s="50"/>
      <c r="G27" s="28"/>
      <c r="H27" s="27"/>
      <c r="I27" s="27"/>
      <c r="J27" s="12"/>
      <c r="K27" s="37"/>
    </row>
    <row r="28" spans="1:11" x14ac:dyDescent="0.2">
      <c r="A28" s="18"/>
      <c r="B28" s="19"/>
      <c r="C28" s="7"/>
      <c r="D28" s="27"/>
      <c r="E28" s="7"/>
      <c r="F28" s="50"/>
      <c r="G28" s="28"/>
      <c r="H28" s="27"/>
      <c r="I28" s="27"/>
      <c r="J28" s="12"/>
      <c r="K28" s="37"/>
    </row>
    <row r="29" spans="1:11" x14ac:dyDescent="0.2">
      <c r="A29" s="18"/>
      <c r="B29" s="19"/>
      <c r="C29" s="7"/>
      <c r="D29" s="27"/>
      <c r="E29" s="7"/>
      <c r="F29" s="50"/>
      <c r="G29" s="28"/>
      <c r="H29" s="27"/>
      <c r="I29" s="52"/>
      <c r="J29" s="46"/>
      <c r="K29" s="37"/>
    </row>
    <row r="30" spans="1:11" x14ac:dyDescent="0.2">
      <c r="A30" s="18"/>
      <c r="B30" s="19"/>
      <c r="C30" s="7"/>
      <c r="D30" s="27"/>
      <c r="E30" s="7"/>
      <c r="F30" s="50"/>
      <c r="G30" s="28"/>
      <c r="H30" s="27"/>
      <c r="I30" s="27"/>
      <c r="J30" s="12"/>
      <c r="K30" s="37"/>
    </row>
    <row r="31" spans="1:11" x14ac:dyDescent="0.2">
      <c r="A31" s="18"/>
      <c r="B31" s="19"/>
      <c r="C31" s="7"/>
      <c r="D31" s="27"/>
      <c r="E31" s="7"/>
      <c r="F31" s="50"/>
      <c r="G31" s="28"/>
      <c r="H31" s="27"/>
      <c r="I31" s="27"/>
      <c r="J31" s="12"/>
      <c r="K31" s="37"/>
    </row>
    <row r="32" spans="1:11" x14ac:dyDescent="0.2">
      <c r="A32" s="18"/>
      <c r="B32" s="19"/>
      <c r="C32" s="7"/>
      <c r="D32" s="27"/>
      <c r="E32" s="7"/>
      <c r="F32" s="50"/>
      <c r="G32" s="28"/>
      <c r="H32" s="27"/>
      <c r="I32" s="27"/>
      <c r="J32" s="12"/>
      <c r="K32" s="37"/>
    </row>
    <row r="33" spans="1:11" x14ac:dyDescent="0.2">
      <c r="A33" s="18"/>
      <c r="B33" s="19"/>
      <c r="C33" s="7"/>
      <c r="D33" s="27"/>
      <c r="E33" s="7"/>
      <c r="F33" s="50"/>
      <c r="G33" s="28"/>
      <c r="H33" s="27"/>
      <c r="I33" s="27"/>
      <c r="J33" s="12"/>
      <c r="K33" s="37"/>
    </row>
    <row r="34" spans="1:11" x14ac:dyDescent="0.2">
      <c r="A34" s="18"/>
      <c r="B34" s="19"/>
      <c r="C34" s="7"/>
      <c r="D34" s="27"/>
      <c r="E34" s="7"/>
      <c r="F34" s="50"/>
      <c r="G34" s="28"/>
      <c r="H34" s="27"/>
      <c r="I34" s="27"/>
      <c r="J34" s="12"/>
      <c r="K34" s="37"/>
    </row>
    <row r="35" spans="1:11" x14ac:dyDescent="0.2">
      <c r="A35" s="18"/>
      <c r="B35" s="19"/>
      <c r="C35" s="7"/>
      <c r="D35" s="27"/>
      <c r="E35" s="7"/>
      <c r="F35" s="50"/>
      <c r="G35" s="28"/>
      <c r="H35" s="27"/>
      <c r="I35" s="27"/>
      <c r="J35" s="12"/>
      <c r="K35" s="37"/>
    </row>
    <row r="36" spans="1:11" x14ac:dyDescent="0.2">
      <c r="A36" s="18"/>
      <c r="B36" s="19"/>
      <c r="C36" s="7"/>
      <c r="D36" s="27"/>
      <c r="E36" s="7"/>
      <c r="F36" s="50"/>
      <c r="G36" s="28"/>
      <c r="H36" s="27"/>
      <c r="I36" s="27"/>
      <c r="J36" s="12"/>
      <c r="K36" s="37"/>
    </row>
    <row r="37" spans="1:11" x14ac:dyDescent="0.2">
      <c r="A37" s="18"/>
      <c r="B37" s="19"/>
      <c r="C37" s="7"/>
      <c r="D37" s="27"/>
      <c r="E37" s="7"/>
      <c r="F37" s="50"/>
      <c r="G37" s="28"/>
      <c r="H37" s="27"/>
      <c r="I37" s="27"/>
      <c r="J37" s="12"/>
      <c r="K37" s="37"/>
    </row>
    <row r="38" spans="1:11" x14ac:dyDescent="0.2">
      <c r="A38" s="18"/>
      <c r="B38" s="19"/>
      <c r="C38" s="7"/>
      <c r="D38" s="27"/>
      <c r="E38" s="7"/>
      <c r="F38" s="50"/>
      <c r="G38" s="28"/>
      <c r="H38" s="27"/>
      <c r="I38" s="27"/>
      <c r="J38" s="12"/>
      <c r="K38" s="37"/>
    </row>
    <row r="39" spans="1:11" x14ac:dyDescent="0.2">
      <c r="A39" s="18"/>
      <c r="B39" s="19"/>
      <c r="C39" s="7"/>
      <c r="D39" s="27"/>
      <c r="E39" s="7"/>
      <c r="F39" s="50"/>
      <c r="G39" s="28"/>
      <c r="H39" s="27"/>
      <c r="I39" s="27"/>
      <c r="J39" s="12"/>
      <c r="K39" s="37"/>
    </row>
    <row r="40" spans="1:11" x14ac:dyDescent="0.2">
      <c r="A40" s="30"/>
      <c r="B40" s="31"/>
      <c r="C40" s="50"/>
      <c r="D40" s="52"/>
      <c r="E40" s="50"/>
      <c r="F40" s="50"/>
      <c r="G40" s="49"/>
      <c r="H40" s="52"/>
      <c r="I40" s="46"/>
      <c r="J40" s="46"/>
      <c r="K40" s="37"/>
    </row>
    <row r="41" spans="1:11" x14ac:dyDescent="0.2">
      <c r="A41" s="34"/>
      <c r="B41" s="34"/>
      <c r="C41" s="34"/>
      <c r="D41" s="34"/>
      <c r="E41" s="34"/>
      <c r="F41" s="34"/>
      <c r="G41" s="34"/>
      <c r="H41" s="34"/>
      <c r="I41" s="34"/>
      <c r="J41" s="34"/>
    </row>
  </sheetData>
  <sheetProtection sheet="1" objects="1" scenarios="1" selectLockedCells="1"/>
  <phoneticPr fontId="1" type="noConversion"/>
  <dataValidations count="5">
    <dataValidation type="custom" allowBlank="1" showInputMessage="1" showErrorMessage="1" errorTitle="Invalid Number" error="TAETORD must be a whole number which starts at 1 for the first element in the arm and increments for subsequent elements." sqref="E2:E9" xr:uid="{00000000-0002-0000-0500-000000000000}">
      <formula1>AND(E2=INT(E2),OR(AND(C2&lt;&gt;C1,E2=1),AND(C2=C1,E2&gt;E1)))</formula1>
    </dataValidation>
    <dataValidation type="list" showErrorMessage="1" errorTitle="Invalid Element Code" error="The element code you have entered is not valid.  Please choose an element code from the TE sheet." sqref="F18 F20:F40 F7" xr:uid="{00000000-0002-0000-0500-000001000000}">
      <formula1>ETCD</formula1>
    </dataValidation>
    <dataValidation type="custom" allowBlank="1" showInputMessage="1" showErrorMessage="1" errorTitle="Invalid Number" error="TAETORD must be a whole number which starts at 1 for the first element in the arm and increments for subsequent elements." sqref="E40" xr:uid="{00000000-0002-0000-0500-000002000000}">
      <formula1>AND(E40=INT(E40),OR(AND(C40&lt;&gt;C33,E40=1),AND(C40=C33,E40&gt;E33)))</formula1>
    </dataValidation>
    <dataValidation type="custom" allowBlank="1" showInputMessage="1" showErrorMessage="1" errorTitle="Invalid Number" error="TAETORD must be a whole number which starts at 1 for the first element in the arm and increments for subsequent elements." sqref="E12:E16 E19:E39" xr:uid="{00000000-0002-0000-0500-000003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4000000}">
      <formula1>AND(E10=INT(E10),OR(AND(C17&lt;&gt;C16,E10=1),AND(C17=C16,E10&gt;E16)))</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10</xdr:col>
                <xdr:colOff>19050</xdr:colOff>
                <xdr:row>1</xdr:row>
                <xdr:rowOff>0</xdr:rowOff>
              </from>
              <to>
                <xdr:col>10</xdr:col>
                <xdr:colOff>180975</xdr:colOff>
                <xdr:row>2</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I41"/>
  <sheetViews>
    <sheetView showZeros="0" workbookViewId="0">
      <pane ySplit="1" topLeftCell="A2" activePane="bottomLeft" state="frozen"/>
      <selection activeCell="C2" sqref="C2"/>
      <selection pane="bottomLeft" activeCell="C2" sqref="C2"/>
    </sheetView>
  </sheetViews>
  <sheetFormatPr defaultRowHeight="11.25" x14ac:dyDescent="0.2"/>
  <cols>
    <col min="1" max="1" width="10.140625" style="9" customWidth="1"/>
    <col min="2" max="2" width="9.42578125" style="9" customWidth="1"/>
    <col min="3" max="3" width="10.28515625" style="9" customWidth="1"/>
    <col min="4" max="6" width="28.7109375" style="9" customWidth="1"/>
    <col min="7" max="7" width="18.28515625" style="9" customWidth="1"/>
    <col min="8" max="16384" width="9.140625" style="9"/>
  </cols>
  <sheetData>
    <row r="1" spans="1:9" s="4" customFormat="1" x14ac:dyDescent="0.2">
      <c r="A1" s="1" t="s">
        <v>0</v>
      </c>
      <c r="B1" s="2" t="s">
        <v>1</v>
      </c>
      <c r="C1" s="2" t="s">
        <v>2</v>
      </c>
      <c r="D1" s="2" t="s">
        <v>3</v>
      </c>
      <c r="E1" s="2" t="s">
        <v>10</v>
      </c>
      <c r="F1" s="2" t="s">
        <v>11</v>
      </c>
      <c r="G1" s="3" t="s">
        <v>12</v>
      </c>
      <c r="H1" s="40"/>
      <c r="I1" s="10"/>
    </row>
    <row r="2" spans="1:9" x14ac:dyDescent="0.2">
      <c r="A2" s="5"/>
      <c r="B2" s="6"/>
      <c r="C2" s="50"/>
      <c r="D2" s="52"/>
      <c r="E2" s="27"/>
      <c r="F2" s="27"/>
      <c r="G2" s="50"/>
      <c r="H2" s="55"/>
      <c r="I2" s="11"/>
    </row>
    <row r="3" spans="1:9" x14ac:dyDescent="0.2">
      <c r="A3" s="5"/>
      <c r="B3" s="6"/>
      <c r="C3" s="50"/>
      <c r="D3" s="52"/>
      <c r="E3" s="27"/>
      <c r="F3" s="27"/>
      <c r="G3" s="8"/>
      <c r="H3" s="55"/>
      <c r="I3" s="11"/>
    </row>
    <row r="4" spans="1:9" x14ac:dyDescent="0.2">
      <c r="A4" s="5"/>
      <c r="B4" s="6"/>
      <c r="C4" s="50"/>
      <c r="D4" s="52"/>
      <c r="E4" s="27"/>
      <c r="F4" s="27"/>
      <c r="G4" s="8"/>
      <c r="H4" s="55"/>
      <c r="I4" s="11"/>
    </row>
    <row r="5" spans="1:9" x14ac:dyDescent="0.2">
      <c r="A5" s="5"/>
      <c r="B5" s="6"/>
      <c r="C5" s="50"/>
      <c r="D5" s="52"/>
      <c r="E5" s="27"/>
      <c r="F5" s="27"/>
      <c r="G5" s="8"/>
      <c r="H5" s="55"/>
      <c r="I5" s="11"/>
    </row>
    <row r="6" spans="1:9" x14ac:dyDescent="0.2">
      <c r="A6" s="5"/>
      <c r="B6" s="6"/>
      <c r="C6" s="50"/>
      <c r="D6" s="52"/>
      <c r="E6" s="27"/>
      <c r="F6" s="27"/>
      <c r="G6" s="8"/>
      <c r="H6" s="55"/>
      <c r="I6" s="11"/>
    </row>
    <row r="7" spans="1:9" x14ac:dyDescent="0.2">
      <c r="A7" s="5"/>
      <c r="B7" s="6"/>
      <c r="C7" s="50"/>
      <c r="D7" s="52"/>
      <c r="E7" s="27"/>
      <c r="F7" s="27"/>
      <c r="G7" s="8"/>
      <c r="H7" s="55"/>
      <c r="I7" s="11"/>
    </row>
    <row r="8" spans="1:9" x14ac:dyDescent="0.2">
      <c r="A8" s="5"/>
      <c r="B8" s="6"/>
      <c r="C8" s="50"/>
      <c r="D8" s="52"/>
      <c r="E8" s="27"/>
      <c r="F8" s="27"/>
      <c r="G8" s="8"/>
      <c r="H8" s="55"/>
      <c r="I8" s="11"/>
    </row>
    <row r="9" spans="1:9" x14ac:dyDescent="0.2">
      <c r="A9" s="5"/>
      <c r="B9" s="6"/>
      <c r="C9" s="50"/>
      <c r="D9" s="52"/>
      <c r="E9" s="27"/>
      <c r="F9" s="27"/>
      <c r="G9" s="8"/>
      <c r="H9" s="55"/>
      <c r="I9" s="11"/>
    </row>
    <row r="10" spans="1:9" x14ac:dyDescent="0.2">
      <c r="A10" s="5"/>
      <c r="B10" s="6"/>
      <c r="C10" s="50"/>
      <c r="D10" s="52"/>
      <c r="E10" s="27"/>
      <c r="F10" s="27"/>
      <c r="G10" s="8"/>
      <c r="H10" s="55"/>
      <c r="I10" s="11"/>
    </row>
    <row r="11" spans="1:9" x14ac:dyDescent="0.2">
      <c r="A11" s="5"/>
      <c r="B11" s="6"/>
      <c r="C11" s="50"/>
      <c r="D11" s="52"/>
      <c r="E11" s="27"/>
      <c r="F11" s="27"/>
      <c r="G11" s="8"/>
      <c r="H11" s="55"/>
      <c r="I11" s="11"/>
    </row>
    <row r="12" spans="1:9" x14ac:dyDescent="0.2">
      <c r="A12" s="5"/>
      <c r="B12" s="6"/>
      <c r="C12" s="50"/>
      <c r="D12" s="52"/>
      <c r="E12" s="27"/>
      <c r="F12" s="27"/>
      <c r="G12" s="8"/>
      <c r="H12" s="55"/>
      <c r="I12" s="11"/>
    </row>
    <row r="13" spans="1:9" x14ac:dyDescent="0.2">
      <c r="A13" s="5"/>
      <c r="B13" s="6"/>
      <c r="C13" s="50"/>
      <c r="D13" s="52"/>
      <c r="E13" s="27"/>
      <c r="F13" s="27"/>
      <c r="G13" s="8"/>
      <c r="H13" s="55"/>
      <c r="I13" s="11"/>
    </row>
    <row r="14" spans="1:9" x14ac:dyDescent="0.2">
      <c r="A14" s="5"/>
      <c r="B14" s="6"/>
      <c r="C14" s="50"/>
      <c r="D14" s="52"/>
      <c r="E14" s="27"/>
      <c r="F14" s="27"/>
      <c r="G14" s="8"/>
      <c r="H14" s="55"/>
      <c r="I14" s="11"/>
    </row>
    <row r="15" spans="1:9" x14ac:dyDescent="0.2">
      <c r="A15" s="5"/>
      <c r="B15" s="6"/>
      <c r="C15" s="50"/>
      <c r="D15" s="52"/>
      <c r="E15" s="27"/>
      <c r="F15" s="27"/>
      <c r="G15" s="8"/>
      <c r="H15" s="55"/>
      <c r="I15" s="11"/>
    </row>
    <row r="16" spans="1:9" x14ac:dyDescent="0.2">
      <c r="A16" s="5"/>
      <c r="B16" s="6"/>
      <c r="C16" s="50"/>
      <c r="D16" s="52"/>
      <c r="E16" s="27"/>
      <c r="F16" s="27"/>
      <c r="G16" s="8"/>
      <c r="H16" s="55"/>
      <c r="I16" s="11"/>
    </row>
    <row r="17" spans="1:9" x14ac:dyDescent="0.2">
      <c r="A17" s="5"/>
      <c r="B17" s="6"/>
      <c r="C17" s="7"/>
      <c r="D17" s="27"/>
      <c r="E17" s="27"/>
      <c r="F17" s="27"/>
      <c r="G17" s="8"/>
      <c r="H17" s="55"/>
      <c r="I17" s="11"/>
    </row>
    <row r="18" spans="1:9" x14ac:dyDescent="0.2">
      <c r="A18" s="5"/>
      <c r="B18" s="6"/>
      <c r="C18" s="7"/>
      <c r="D18" s="27"/>
      <c r="E18" s="27"/>
      <c r="F18" s="27"/>
      <c r="G18" s="8"/>
      <c r="H18" s="55"/>
      <c r="I18" s="11"/>
    </row>
    <row r="19" spans="1:9" x14ac:dyDescent="0.2">
      <c r="A19" s="5"/>
      <c r="B19" s="6"/>
      <c r="C19" s="7"/>
      <c r="D19" s="27"/>
      <c r="E19" s="27"/>
      <c r="F19" s="27"/>
      <c r="G19" s="8"/>
      <c r="H19" s="55"/>
      <c r="I19" s="11"/>
    </row>
    <row r="20" spans="1:9" x14ac:dyDescent="0.2">
      <c r="A20" s="5"/>
      <c r="B20" s="6"/>
      <c r="C20" s="7"/>
      <c r="D20" s="27"/>
      <c r="E20" s="27"/>
      <c r="F20" s="27"/>
      <c r="G20" s="8"/>
      <c r="H20" s="55"/>
      <c r="I20" s="11"/>
    </row>
    <row r="21" spans="1:9" x14ac:dyDescent="0.2">
      <c r="A21" s="5"/>
      <c r="B21" s="6"/>
      <c r="C21" s="7"/>
      <c r="D21" s="27"/>
      <c r="E21" s="27"/>
      <c r="F21" s="27"/>
      <c r="G21" s="8"/>
      <c r="H21" s="55"/>
      <c r="I21" s="11"/>
    </row>
    <row r="22" spans="1:9" x14ac:dyDescent="0.2">
      <c r="A22" s="5"/>
      <c r="B22" s="6"/>
      <c r="C22" s="7"/>
      <c r="D22" s="27"/>
      <c r="E22" s="27"/>
      <c r="F22" s="27"/>
      <c r="G22" s="8"/>
      <c r="H22" s="55"/>
      <c r="I22" s="11"/>
    </row>
    <row r="23" spans="1:9" x14ac:dyDescent="0.2">
      <c r="A23" s="5"/>
      <c r="B23" s="6"/>
      <c r="C23" s="7"/>
      <c r="D23" s="27"/>
      <c r="E23" s="27"/>
      <c r="F23" s="27"/>
      <c r="G23" s="8"/>
      <c r="H23" s="55"/>
      <c r="I23" s="11"/>
    </row>
    <row r="24" spans="1:9" x14ac:dyDescent="0.2">
      <c r="A24" s="5"/>
      <c r="B24" s="6"/>
      <c r="C24" s="7"/>
      <c r="D24" s="27"/>
      <c r="E24" s="27"/>
      <c r="F24" s="27"/>
      <c r="G24" s="8"/>
      <c r="H24" s="55"/>
      <c r="I24" s="11"/>
    </row>
    <row r="25" spans="1:9" x14ac:dyDescent="0.2">
      <c r="A25" s="5"/>
      <c r="B25" s="6"/>
      <c r="C25" s="7"/>
      <c r="D25" s="27"/>
      <c r="E25" s="27"/>
      <c r="F25" s="27"/>
      <c r="G25" s="8"/>
      <c r="H25" s="55"/>
      <c r="I25" s="11"/>
    </row>
    <row r="26" spans="1:9" x14ac:dyDescent="0.2">
      <c r="A26" s="5"/>
      <c r="B26" s="6"/>
      <c r="C26" s="7"/>
      <c r="D26" s="27"/>
      <c r="E26" s="27"/>
      <c r="F26" s="27"/>
      <c r="G26" s="8"/>
      <c r="H26" s="55"/>
      <c r="I26" s="11"/>
    </row>
    <row r="27" spans="1:9" x14ac:dyDescent="0.2">
      <c r="A27" s="5"/>
      <c r="B27" s="6"/>
      <c r="C27" s="7"/>
      <c r="D27" s="27"/>
      <c r="E27" s="27"/>
      <c r="F27" s="27"/>
      <c r="G27" s="8"/>
      <c r="H27" s="55"/>
      <c r="I27" s="11"/>
    </row>
    <row r="28" spans="1:9" x14ac:dyDescent="0.2">
      <c r="A28" s="5"/>
      <c r="B28" s="6"/>
      <c r="C28" s="7"/>
      <c r="D28" s="27"/>
      <c r="E28" s="27"/>
      <c r="F28" s="27"/>
      <c r="G28" s="8"/>
      <c r="H28" s="55"/>
      <c r="I28" s="11"/>
    </row>
    <row r="29" spans="1:9" x14ac:dyDescent="0.2">
      <c r="A29" s="5"/>
      <c r="B29" s="6"/>
      <c r="C29" s="7"/>
      <c r="D29" s="27"/>
      <c r="E29" s="27"/>
      <c r="F29" s="27"/>
      <c r="G29" s="8"/>
      <c r="H29" s="55"/>
      <c r="I29" s="11"/>
    </row>
    <row r="30" spans="1:9" x14ac:dyDescent="0.2">
      <c r="A30" s="5"/>
      <c r="B30" s="6"/>
      <c r="C30" s="7"/>
      <c r="D30" s="27"/>
      <c r="E30" s="27"/>
      <c r="F30" s="27"/>
      <c r="G30" s="8"/>
      <c r="H30" s="55"/>
      <c r="I30" s="11"/>
    </row>
    <row r="31" spans="1:9" x14ac:dyDescent="0.2">
      <c r="A31" s="5"/>
      <c r="B31" s="6"/>
      <c r="C31" s="7"/>
      <c r="D31" s="27"/>
      <c r="E31" s="27"/>
      <c r="F31" s="27"/>
      <c r="G31" s="8"/>
      <c r="H31" s="55"/>
      <c r="I31" s="11"/>
    </row>
    <row r="32" spans="1:9" x14ac:dyDescent="0.2">
      <c r="A32" s="5"/>
      <c r="B32" s="6"/>
      <c r="C32" s="7"/>
      <c r="D32" s="27"/>
      <c r="E32" s="27"/>
      <c r="F32" s="27"/>
      <c r="G32" s="8"/>
      <c r="H32" s="55"/>
      <c r="I32" s="11"/>
    </row>
    <row r="33" spans="1:9" x14ac:dyDescent="0.2">
      <c r="A33" s="5"/>
      <c r="B33" s="6"/>
      <c r="C33" s="7"/>
      <c r="D33" s="27"/>
      <c r="E33" s="27"/>
      <c r="F33" s="27"/>
      <c r="G33" s="8"/>
      <c r="H33" s="55"/>
      <c r="I33" s="11"/>
    </row>
    <row r="34" spans="1:9" x14ac:dyDescent="0.2">
      <c r="A34" s="5"/>
      <c r="B34" s="6"/>
      <c r="C34" s="7"/>
      <c r="D34" s="27"/>
      <c r="E34" s="27"/>
      <c r="F34" s="27"/>
      <c r="G34" s="8"/>
      <c r="H34" s="55"/>
      <c r="I34" s="11"/>
    </row>
    <row r="35" spans="1:9" x14ac:dyDescent="0.2">
      <c r="A35" s="5"/>
      <c r="B35" s="6"/>
      <c r="C35" s="7"/>
      <c r="D35" s="27"/>
      <c r="E35" s="27"/>
      <c r="F35" s="27"/>
      <c r="G35" s="8"/>
      <c r="H35" s="55"/>
      <c r="I35" s="11"/>
    </row>
    <row r="36" spans="1:9" x14ac:dyDescent="0.2">
      <c r="A36" s="5"/>
      <c r="B36" s="6"/>
      <c r="C36" s="7"/>
      <c r="D36" s="27"/>
      <c r="E36" s="27"/>
      <c r="F36" s="27"/>
      <c r="G36" s="8"/>
      <c r="H36" s="55"/>
      <c r="I36" s="11"/>
    </row>
    <row r="37" spans="1:9" x14ac:dyDescent="0.2">
      <c r="A37" s="5"/>
      <c r="B37" s="6"/>
      <c r="C37" s="7"/>
      <c r="D37" s="27"/>
      <c r="E37" s="27"/>
      <c r="F37" s="27"/>
      <c r="G37" s="8"/>
      <c r="H37" s="55"/>
      <c r="I37" s="11"/>
    </row>
    <row r="38" spans="1:9" x14ac:dyDescent="0.2">
      <c r="A38" s="5"/>
      <c r="B38" s="6"/>
      <c r="C38" s="7"/>
      <c r="D38" s="27"/>
      <c r="E38" s="27"/>
      <c r="F38" s="27"/>
      <c r="G38" s="8"/>
      <c r="H38" s="55"/>
      <c r="I38" s="11"/>
    </row>
    <row r="39" spans="1:9" x14ac:dyDescent="0.2">
      <c r="A39" s="5"/>
      <c r="B39" s="6"/>
      <c r="C39" s="7"/>
      <c r="D39" s="27"/>
      <c r="E39" s="27"/>
      <c r="F39" s="27"/>
      <c r="G39" s="8"/>
      <c r="H39" s="55"/>
      <c r="I39" s="11"/>
    </row>
    <row r="40" spans="1:9" x14ac:dyDescent="0.2">
      <c r="A40" s="53"/>
      <c r="B40" s="32"/>
      <c r="C40" s="47"/>
      <c r="D40" s="48"/>
      <c r="E40" s="48"/>
      <c r="F40" s="48"/>
      <c r="G40" s="54"/>
      <c r="H40" s="55"/>
      <c r="I40" s="11"/>
    </row>
    <row r="41" spans="1:9" x14ac:dyDescent="0.2">
      <c r="A41" s="34"/>
      <c r="B41" s="34"/>
      <c r="C41" s="34"/>
      <c r="D41" s="34"/>
      <c r="E41" s="34"/>
      <c r="F41" s="34"/>
      <c r="G41" s="34"/>
    </row>
  </sheetData>
  <sheetProtection sheet="1" objects="1" scenarios="1"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7</xdr:col>
                <xdr:colOff>19050</xdr:colOff>
                <xdr:row>1</xdr:row>
                <xdr:rowOff>0</xdr:rowOff>
              </from>
              <to>
                <xdr:col>7</xdr:col>
                <xdr:colOff>180975</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1"/>
  <sheetViews>
    <sheetView showZeros="0" workbookViewId="0">
      <pane ySplit="1" topLeftCell="A2" activePane="bottomLeft" state="frozen"/>
      <selection activeCell="D2" sqref="D2:D16"/>
      <selection pane="bottomLeft" activeCell="C2" sqref="C2"/>
    </sheetView>
  </sheetViews>
  <sheetFormatPr defaultRowHeight="11.25" x14ac:dyDescent="0.2"/>
  <cols>
    <col min="1" max="1" width="10.140625" style="9" customWidth="1"/>
    <col min="2" max="2" width="9.42578125" style="9" customWidth="1"/>
    <col min="3" max="3" width="10.28515625" style="9" customWidth="1"/>
    <col min="4" max="4" width="24.140625" style="9" customWidth="1"/>
    <col min="5" max="5" width="8" style="9" bestFit="1" customWidth="1"/>
    <col min="6" max="6" width="9.85546875" style="9" customWidth="1"/>
    <col min="7" max="7" width="25.85546875" style="9" customWidth="1"/>
    <col min="8" max="8" width="27.42578125" style="9" customWidth="1"/>
    <col min="9" max="9" width="21.28515625" style="9" customWidth="1"/>
    <col min="10" max="16384" width="9.140625" style="9"/>
  </cols>
  <sheetData>
    <row r="1" spans="1:10" s="4" customFormat="1" x14ac:dyDescent="0.2">
      <c r="A1" s="1" t="s">
        <v>0</v>
      </c>
      <c r="B1" s="2" t="s">
        <v>1</v>
      </c>
      <c r="C1" s="2" t="s">
        <v>7</v>
      </c>
      <c r="D1" s="2" t="s">
        <v>8</v>
      </c>
      <c r="E1" s="2" t="s">
        <v>9</v>
      </c>
      <c r="F1" s="2" t="s">
        <v>4</v>
      </c>
      <c r="G1" s="2" t="s">
        <v>5</v>
      </c>
      <c r="H1" s="2" t="s">
        <v>16</v>
      </c>
      <c r="I1" s="3" t="s">
        <v>17</v>
      </c>
      <c r="J1" s="36"/>
    </row>
    <row r="2" spans="1:10" x14ac:dyDescent="0.2">
      <c r="A2" s="18"/>
      <c r="B2" s="19"/>
      <c r="C2" s="50"/>
      <c r="D2" s="7"/>
      <c r="E2" s="7"/>
      <c r="F2" s="50"/>
      <c r="G2" s="28"/>
      <c r="H2" s="27"/>
      <c r="I2" s="26"/>
      <c r="J2" s="37"/>
    </row>
    <row r="3" spans="1:10" x14ac:dyDescent="0.2">
      <c r="A3" s="18"/>
      <c r="B3" s="19"/>
      <c r="C3" s="7"/>
      <c r="D3" s="7"/>
      <c r="E3" s="7"/>
      <c r="F3" s="50"/>
      <c r="G3" s="28"/>
      <c r="H3" s="27"/>
      <c r="I3" s="26"/>
      <c r="J3" s="37"/>
    </row>
    <row r="4" spans="1:10" x14ac:dyDescent="0.2">
      <c r="A4" s="18"/>
      <c r="B4" s="19"/>
      <c r="C4" s="7"/>
      <c r="D4" s="7"/>
      <c r="E4" s="7"/>
      <c r="F4" s="50"/>
      <c r="G4" s="28"/>
      <c r="H4" s="27"/>
      <c r="I4" s="26"/>
      <c r="J4" s="37"/>
    </row>
    <row r="5" spans="1:10" x14ac:dyDescent="0.2">
      <c r="A5" s="18"/>
      <c r="B5" s="19"/>
      <c r="C5" s="7"/>
      <c r="D5" s="7"/>
      <c r="E5" s="7"/>
      <c r="F5" s="50"/>
      <c r="G5" s="28"/>
      <c r="H5" s="27"/>
      <c r="I5" s="26"/>
      <c r="J5" s="37"/>
    </row>
    <row r="6" spans="1:10" x14ac:dyDescent="0.2">
      <c r="A6" s="18"/>
      <c r="B6" s="19"/>
      <c r="C6" s="7"/>
      <c r="D6" s="7"/>
      <c r="E6" s="7"/>
      <c r="F6" s="50"/>
      <c r="G6" s="28"/>
      <c r="H6" s="27"/>
      <c r="I6" s="26"/>
      <c r="J6" s="37"/>
    </row>
    <row r="7" spans="1:10" x14ac:dyDescent="0.2">
      <c r="A7" s="18"/>
      <c r="B7" s="19"/>
      <c r="C7" s="7"/>
      <c r="D7" s="7"/>
      <c r="E7" s="7"/>
      <c r="F7" s="50"/>
      <c r="G7" s="28"/>
      <c r="H7" s="27"/>
      <c r="I7" s="26"/>
      <c r="J7" s="37"/>
    </row>
    <row r="8" spans="1:10" x14ac:dyDescent="0.2">
      <c r="A8" s="18"/>
      <c r="B8" s="19"/>
      <c r="C8" s="7"/>
      <c r="D8" s="7"/>
      <c r="E8" s="7"/>
      <c r="F8" s="50"/>
      <c r="G8" s="28"/>
      <c r="H8" s="27"/>
      <c r="I8" s="26"/>
      <c r="J8" s="37"/>
    </row>
    <row r="9" spans="1:10" x14ac:dyDescent="0.2">
      <c r="A9" s="18"/>
      <c r="B9" s="19"/>
      <c r="C9" s="7"/>
      <c r="D9" s="7"/>
      <c r="E9" s="7"/>
      <c r="F9" s="50"/>
      <c r="G9" s="28"/>
      <c r="H9" s="27"/>
      <c r="I9" s="26"/>
      <c r="J9" s="37"/>
    </row>
    <row r="10" spans="1:10" x14ac:dyDescent="0.2">
      <c r="A10" s="18"/>
      <c r="B10" s="19"/>
      <c r="C10" s="7"/>
      <c r="D10" s="7"/>
      <c r="E10" s="7"/>
      <c r="F10" s="50"/>
      <c r="G10" s="28"/>
      <c r="H10" s="27"/>
      <c r="I10" s="26"/>
      <c r="J10" s="37"/>
    </row>
    <row r="11" spans="1:10" x14ac:dyDescent="0.2">
      <c r="A11" s="18"/>
      <c r="B11" s="19"/>
      <c r="C11" s="7"/>
      <c r="D11" s="7"/>
      <c r="E11" s="7"/>
      <c r="F11" s="50"/>
      <c r="G11" s="28"/>
      <c r="H11" s="27"/>
      <c r="I11" s="26"/>
      <c r="J11" s="37"/>
    </row>
    <row r="12" spans="1:10" x14ac:dyDescent="0.2">
      <c r="A12" s="18"/>
      <c r="B12" s="19"/>
      <c r="C12" s="7"/>
      <c r="D12" s="7"/>
      <c r="E12" s="7"/>
      <c r="F12" s="50"/>
      <c r="G12" s="28"/>
      <c r="H12" s="27"/>
      <c r="I12" s="26"/>
      <c r="J12" s="37"/>
    </row>
    <row r="13" spans="1:10" x14ac:dyDescent="0.2">
      <c r="A13" s="18"/>
      <c r="B13" s="19"/>
      <c r="C13" s="7"/>
      <c r="D13" s="7"/>
      <c r="E13" s="7"/>
      <c r="F13" s="50"/>
      <c r="G13" s="28"/>
      <c r="H13" s="27"/>
      <c r="I13" s="26"/>
      <c r="J13" s="37"/>
    </row>
    <row r="14" spans="1:10" x14ac:dyDescent="0.2">
      <c r="A14" s="18"/>
      <c r="B14" s="19"/>
      <c r="C14" s="7"/>
      <c r="D14" s="7"/>
      <c r="E14" s="7"/>
      <c r="F14" s="50"/>
      <c r="G14" s="28"/>
      <c r="H14" s="27"/>
      <c r="I14" s="26"/>
      <c r="J14" s="37"/>
    </row>
    <row r="15" spans="1:10" x14ac:dyDescent="0.2">
      <c r="A15" s="18"/>
      <c r="B15" s="19"/>
      <c r="C15" s="7"/>
      <c r="D15" s="7"/>
      <c r="E15" s="7"/>
      <c r="F15" s="50"/>
      <c r="G15" s="28"/>
      <c r="H15" s="27"/>
      <c r="I15" s="26"/>
      <c r="J15" s="37"/>
    </row>
    <row r="16" spans="1:10" x14ac:dyDescent="0.2">
      <c r="A16" s="18"/>
      <c r="B16" s="19"/>
      <c r="C16" s="7"/>
      <c r="D16" s="7"/>
      <c r="E16" s="7"/>
      <c r="F16" s="50"/>
      <c r="G16" s="28"/>
      <c r="H16" s="27"/>
      <c r="I16" s="26"/>
      <c r="J16" s="37"/>
    </row>
    <row r="17" spans="1:10" x14ac:dyDescent="0.2">
      <c r="A17" s="18"/>
      <c r="B17" s="19"/>
      <c r="C17" s="7"/>
      <c r="D17" s="7"/>
      <c r="E17" s="7"/>
      <c r="F17" s="50"/>
      <c r="G17" s="28"/>
      <c r="H17" s="27"/>
      <c r="I17" s="26"/>
      <c r="J17" s="37"/>
    </row>
    <row r="18" spans="1:10" x14ac:dyDescent="0.2">
      <c r="A18" s="18"/>
      <c r="B18" s="19"/>
      <c r="C18" s="7"/>
      <c r="D18" s="7"/>
      <c r="E18" s="7"/>
      <c r="F18" s="7"/>
      <c r="G18" s="28"/>
      <c r="H18" s="27"/>
      <c r="I18" s="26"/>
      <c r="J18" s="37"/>
    </row>
    <row r="19" spans="1:10" x14ac:dyDescent="0.2">
      <c r="A19" s="18"/>
      <c r="B19" s="19"/>
      <c r="C19" s="7"/>
      <c r="D19" s="7"/>
      <c r="E19" s="7"/>
      <c r="F19" s="7"/>
      <c r="G19" s="28"/>
      <c r="H19" s="27"/>
      <c r="I19" s="26"/>
      <c r="J19" s="37"/>
    </row>
    <row r="20" spans="1:10" x14ac:dyDescent="0.2">
      <c r="A20" s="18"/>
      <c r="B20" s="19"/>
      <c r="C20" s="7"/>
      <c r="D20" s="7"/>
      <c r="E20" s="7"/>
      <c r="F20" s="7"/>
      <c r="G20" s="28"/>
      <c r="H20" s="27"/>
      <c r="I20" s="26"/>
      <c r="J20" s="37"/>
    </row>
    <row r="21" spans="1:10" x14ac:dyDescent="0.2">
      <c r="A21" s="18"/>
      <c r="B21" s="19"/>
      <c r="C21" s="7"/>
      <c r="D21" s="7"/>
      <c r="E21" s="7"/>
      <c r="F21" s="7"/>
      <c r="G21" s="28"/>
      <c r="H21" s="27"/>
      <c r="I21" s="26"/>
      <c r="J21" s="37"/>
    </row>
    <row r="22" spans="1:10" x14ac:dyDescent="0.2">
      <c r="A22" s="18"/>
      <c r="B22" s="19"/>
      <c r="C22" s="7"/>
      <c r="D22" s="7"/>
      <c r="E22" s="7"/>
      <c r="F22" s="7"/>
      <c r="G22" s="28"/>
      <c r="H22" s="27"/>
      <c r="I22" s="26"/>
      <c r="J22" s="37"/>
    </row>
    <row r="23" spans="1:10" x14ac:dyDescent="0.2">
      <c r="A23" s="18"/>
      <c r="B23" s="19"/>
      <c r="C23" s="7"/>
      <c r="D23" s="7"/>
      <c r="E23" s="7"/>
      <c r="F23" s="7"/>
      <c r="G23" s="28"/>
      <c r="H23" s="27"/>
      <c r="I23" s="26"/>
      <c r="J23" s="37"/>
    </row>
    <row r="24" spans="1:10" x14ac:dyDescent="0.2">
      <c r="A24" s="18"/>
      <c r="B24" s="19"/>
      <c r="C24" s="7"/>
      <c r="D24" s="7"/>
      <c r="E24" s="7"/>
      <c r="F24" s="7"/>
      <c r="G24" s="28"/>
      <c r="H24" s="27"/>
      <c r="I24" s="26"/>
      <c r="J24" s="37"/>
    </row>
    <row r="25" spans="1:10" x14ac:dyDescent="0.2">
      <c r="A25" s="18"/>
      <c r="B25" s="19"/>
      <c r="C25" s="7"/>
      <c r="D25" s="7"/>
      <c r="E25" s="7"/>
      <c r="F25" s="7"/>
      <c r="G25" s="28"/>
      <c r="H25" s="27"/>
      <c r="I25" s="26"/>
      <c r="J25" s="37"/>
    </row>
    <row r="26" spans="1:10" x14ac:dyDescent="0.2">
      <c r="A26" s="18"/>
      <c r="B26" s="19"/>
      <c r="C26" s="7"/>
      <c r="D26" s="7"/>
      <c r="E26" s="7"/>
      <c r="F26" s="7"/>
      <c r="G26" s="28"/>
      <c r="H26" s="27"/>
      <c r="I26" s="26"/>
      <c r="J26" s="37"/>
    </row>
    <row r="27" spans="1:10" x14ac:dyDescent="0.2">
      <c r="A27" s="18"/>
      <c r="B27" s="19"/>
      <c r="C27" s="7"/>
      <c r="D27" s="7"/>
      <c r="E27" s="7"/>
      <c r="F27" s="7"/>
      <c r="G27" s="28"/>
      <c r="H27" s="27"/>
      <c r="I27" s="26"/>
      <c r="J27" s="37"/>
    </row>
    <row r="28" spans="1:10" x14ac:dyDescent="0.2">
      <c r="A28" s="18"/>
      <c r="B28" s="19"/>
      <c r="C28" s="7"/>
      <c r="D28" s="7"/>
      <c r="E28" s="7"/>
      <c r="F28" s="7"/>
      <c r="G28" s="28"/>
      <c r="H28" s="27"/>
      <c r="I28" s="26"/>
      <c r="J28" s="37"/>
    </row>
    <row r="29" spans="1:10" x14ac:dyDescent="0.2">
      <c r="A29" s="18"/>
      <c r="B29" s="19"/>
      <c r="C29" s="7"/>
      <c r="D29" s="7"/>
      <c r="E29" s="7"/>
      <c r="F29" s="7"/>
      <c r="G29" s="28"/>
      <c r="H29" s="27"/>
      <c r="I29" s="26"/>
      <c r="J29" s="37"/>
    </row>
    <row r="30" spans="1:10" x14ac:dyDescent="0.2">
      <c r="A30" s="18"/>
      <c r="B30" s="19"/>
      <c r="C30" s="7"/>
      <c r="D30" s="7"/>
      <c r="E30" s="7"/>
      <c r="F30" s="7"/>
      <c r="G30" s="28"/>
      <c r="H30" s="27"/>
      <c r="I30" s="26"/>
      <c r="J30" s="37"/>
    </row>
    <row r="31" spans="1:10" x14ac:dyDescent="0.2">
      <c r="A31" s="18"/>
      <c r="B31" s="19"/>
      <c r="C31" s="7"/>
      <c r="D31" s="7"/>
      <c r="E31" s="7"/>
      <c r="F31" s="7"/>
      <c r="G31" s="28"/>
      <c r="H31" s="27"/>
      <c r="I31" s="26"/>
      <c r="J31" s="37"/>
    </row>
    <row r="32" spans="1:10" x14ac:dyDescent="0.2">
      <c r="A32" s="18"/>
      <c r="B32" s="19"/>
      <c r="C32" s="7"/>
      <c r="D32" s="7"/>
      <c r="E32" s="7"/>
      <c r="F32" s="7"/>
      <c r="G32" s="28"/>
      <c r="H32" s="27"/>
      <c r="I32" s="26"/>
      <c r="J32" s="37"/>
    </row>
    <row r="33" spans="1:10" x14ac:dyDescent="0.2">
      <c r="A33" s="18"/>
      <c r="B33" s="19"/>
      <c r="C33" s="7"/>
      <c r="D33" s="7"/>
      <c r="E33" s="7"/>
      <c r="F33" s="7"/>
      <c r="G33" s="28"/>
      <c r="H33" s="27"/>
      <c r="I33" s="26"/>
      <c r="J33" s="37"/>
    </row>
    <row r="34" spans="1:10" x14ac:dyDescent="0.2">
      <c r="A34" s="18"/>
      <c r="B34" s="19"/>
      <c r="C34" s="7"/>
      <c r="D34" s="7"/>
      <c r="E34" s="7"/>
      <c r="F34" s="7"/>
      <c r="G34" s="28"/>
      <c r="H34" s="27"/>
      <c r="I34" s="26"/>
      <c r="J34" s="37"/>
    </row>
    <row r="35" spans="1:10" x14ac:dyDescent="0.2">
      <c r="A35" s="18"/>
      <c r="B35" s="19"/>
      <c r="C35" s="7"/>
      <c r="D35" s="7"/>
      <c r="E35" s="7"/>
      <c r="F35" s="7"/>
      <c r="G35" s="28"/>
      <c r="H35" s="27"/>
      <c r="I35" s="26"/>
      <c r="J35" s="37"/>
    </row>
    <row r="36" spans="1:10" x14ac:dyDescent="0.2">
      <c r="A36" s="18"/>
      <c r="B36" s="19"/>
      <c r="C36" s="7"/>
      <c r="D36" s="7"/>
      <c r="E36" s="7"/>
      <c r="F36" s="7"/>
      <c r="G36" s="28"/>
      <c r="H36" s="27"/>
      <c r="I36" s="26"/>
      <c r="J36" s="37"/>
    </row>
    <row r="37" spans="1:10" x14ac:dyDescent="0.2">
      <c r="A37" s="18"/>
      <c r="B37" s="19"/>
      <c r="C37" s="7"/>
      <c r="D37" s="7"/>
      <c r="E37" s="7"/>
      <c r="F37" s="7"/>
      <c r="G37" s="28"/>
      <c r="H37" s="27"/>
      <c r="I37" s="26"/>
      <c r="J37" s="37"/>
    </row>
    <row r="38" spans="1:10" x14ac:dyDescent="0.2">
      <c r="A38" s="18"/>
      <c r="B38" s="19"/>
      <c r="C38" s="7"/>
      <c r="D38" s="7"/>
      <c r="E38" s="7"/>
      <c r="F38" s="7"/>
      <c r="G38" s="28"/>
      <c r="H38" s="27"/>
      <c r="I38" s="26"/>
      <c r="J38" s="37"/>
    </row>
    <row r="39" spans="1:10" x14ac:dyDescent="0.2">
      <c r="A39" s="18"/>
      <c r="B39" s="19"/>
      <c r="C39" s="7"/>
      <c r="D39" s="7"/>
      <c r="E39" s="7"/>
      <c r="F39" s="7"/>
      <c r="G39" s="28"/>
      <c r="H39" s="27"/>
      <c r="I39" s="26"/>
      <c r="J39" s="37"/>
    </row>
    <row r="40" spans="1:10" x14ac:dyDescent="0.2">
      <c r="A40" s="30"/>
      <c r="B40" s="31"/>
      <c r="C40" s="47"/>
      <c r="D40" s="47"/>
      <c r="E40" s="47"/>
      <c r="F40" s="47"/>
      <c r="G40" s="49"/>
      <c r="H40" s="48"/>
      <c r="I40" s="56"/>
      <c r="J40" s="37"/>
    </row>
    <row r="41" spans="1:10" x14ac:dyDescent="0.2">
      <c r="A41" s="34"/>
      <c r="B41" s="34"/>
      <c r="C41" s="34"/>
      <c r="D41" s="34"/>
      <c r="E41" s="34"/>
      <c r="F41" s="34"/>
      <c r="G41" s="34"/>
      <c r="H41" s="34"/>
      <c r="I41" s="34"/>
    </row>
  </sheetData>
  <sheetProtection sheet="1" objects="1" scenarios="1" selectLockedCells="1"/>
  <phoneticPr fontId="1" type="noConversion"/>
  <dataValidations count="3">
    <dataValidation type="list" allowBlank="1" showInputMessage="1" sqref="H2:H40" xr:uid="{00000000-0002-0000-0700-000000000000}">
      <formula1>TVSTRL</formula1>
    </dataValidation>
    <dataValidation type="list" allowBlank="1" showInputMessage="1" sqref="I2:I40" xr:uid="{00000000-0002-0000-0700-000001000000}">
      <formula1>TVENRL</formula1>
    </dataValidation>
    <dataValidation type="list" showInputMessage="1" showErrorMessage="1" errorTitle="Invalid Arm Code" error="The arm code you have entered is not valid.  Please choose an arm code from the TA sheet." sqref="F2:F40"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1</xdr:row>
                <xdr:rowOff>0</xdr:rowOff>
              </from>
              <to>
                <xdr:col>9</xdr:col>
                <xdr:colOff>333375</xdr:colOff>
                <xdr:row>2</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220</v>
      </c>
      <c r="D1" t="s">
        <v>4</v>
      </c>
      <c r="F1" t="s">
        <v>2</v>
      </c>
    </row>
    <row r="2" spans="1:6" x14ac:dyDescent="0.2">
      <c r="A2" t="s">
        <v>27</v>
      </c>
      <c r="B2" t="s">
        <v>221</v>
      </c>
      <c r="D2" s="51"/>
      <c r="F2" s="51"/>
    </row>
    <row r="3" spans="1:6" x14ac:dyDescent="0.2">
      <c r="A3" t="s">
        <v>27</v>
      </c>
      <c r="B3" t="s">
        <v>222</v>
      </c>
    </row>
    <row r="4" spans="1:6" x14ac:dyDescent="0.2">
      <c r="A4" t="s">
        <v>27</v>
      </c>
      <c r="B4" t="s">
        <v>223</v>
      </c>
    </row>
    <row r="5" spans="1:6" x14ac:dyDescent="0.2">
      <c r="A5" t="s">
        <v>27</v>
      </c>
      <c r="B5" t="s">
        <v>224</v>
      </c>
    </row>
    <row r="6" spans="1:6" x14ac:dyDescent="0.2">
      <c r="A6" t="s">
        <v>27</v>
      </c>
      <c r="B6" t="s">
        <v>225</v>
      </c>
    </row>
    <row r="7" spans="1:6" x14ac:dyDescent="0.2">
      <c r="A7" t="s">
        <v>27</v>
      </c>
      <c r="B7" t="s">
        <v>226</v>
      </c>
    </row>
    <row r="8" spans="1:6" x14ac:dyDescent="0.2">
      <c r="A8" t="s">
        <v>27</v>
      </c>
      <c r="B8" t="s">
        <v>227</v>
      </c>
    </row>
    <row r="9" spans="1:6" x14ac:dyDescent="0.2">
      <c r="A9" t="s">
        <v>65</v>
      </c>
      <c r="B9" t="s">
        <v>228</v>
      </c>
    </row>
    <row r="10" spans="1:6" x14ac:dyDescent="0.2">
      <c r="A10" t="s">
        <v>65</v>
      </c>
      <c r="B10" t="s">
        <v>229</v>
      </c>
    </row>
    <row r="11" spans="1:6" x14ac:dyDescent="0.2">
      <c r="A11" t="s">
        <v>65</v>
      </c>
      <c r="B11" t="s">
        <v>230</v>
      </c>
    </row>
    <row r="12" spans="1:6" x14ac:dyDescent="0.2">
      <c r="A12" t="s">
        <v>65</v>
      </c>
      <c r="B12" t="s">
        <v>231</v>
      </c>
    </row>
    <row r="13" spans="1:6" x14ac:dyDescent="0.2">
      <c r="A13" t="s">
        <v>65</v>
      </c>
      <c r="B13" t="s">
        <v>232</v>
      </c>
    </row>
    <row r="14" spans="1:6" x14ac:dyDescent="0.2">
      <c r="A14" t="s">
        <v>20</v>
      </c>
      <c r="B14" t="s">
        <v>52</v>
      </c>
    </row>
    <row r="15" spans="1:6" x14ac:dyDescent="0.2">
      <c r="A15" t="s">
        <v>20</v>
      </c>
      <c r="B15" t="s">
        <v>49</v>
      </c>
    </row>
    <row r="16" spans="1:6" x14ac:dyDescent="0.2">
      <c r="A16" t="s">
        <v>213</v>
      </c>
      <c r="B16" t="s">
        <v>261</v>
      </c>
    </row>
    <row r="17" spans="1:6" x14ac:dyDescent="0.2">
      <c r="A17" t="s">
        <v>213</v>
      </c>
      <c r="B17" t="s">
        <v>252</v>
      </c>
      <c r="D17" s="51"/>
      <c r="F17" s="29"/>
    </row>
    <row r="18" spans="1:6" x14ac:dyDescent="0.2">
      <c r="A18" t="s">
        <v>213</v>
      </c>
      <c r="B18" t="s">
        <v>262</v>
      </c>
    </row>
    <row r="19" spans="1:6" x14ac:dyDescent="0.2">
      <c r="A19" t="s">
        <v>213</v>
      </c>
      <c r="B19" t="s">
        <v>263</v>
      </c>
    </row>
    <row r="20" spans="1:6" x14ac:dyDescent="0.2">
      <c r="A20" t="s">
        <v>38</v>
      </c>
      <c r="B20" t="s">
        <v>92</v>
      </c>
    </row>
    <row r="21" spans="1:6" x14ac:dyDescent="0.2">
      <c r="A21" t="s">
        <v>38</v>
      </c>
      <c r="B21" t="s">
        <v>93</v>
      </c>
    </row>
    <row r="22" spans="1:6" x14ac:dyDescent="0.2">
      <c r="A22" t="s">
        <v>38</v>
      </c>
      <c r="B22" t="s">
        <v>94</v>
      </c>
    </row>
    <row r="23" spans="1:6" x14ac:dyDescent="0.2">
      <c r="A23" t="s">
        <v>38</v>
      </c>
      <c r="B23" t="s">
        <v>95</v>
      </c>
      <c r="D23" s="51"/>
    </row>
    <row r="24" spans="1:6" x14ac:dyDescent="0.2">
      <c r="A24" t="s">
        <v>38</v>
      </c>
      <c r="B24" t="s">
        <v>96</v>
      </c>
    </row>
    <row r="25" spans="1:6" x14ac:dyDescent="0.2">
      <c r="A25" t="s">
        <v>38</v>
      </c>
      <c r="B25" t="s">
        <v>97</v>
      </c>
    </row>
    <row r="26" spans="1:6" x14ac:dyDescent="0.2">
      <c r="A26" t="s">
        <v>38</v>
      </c>
      <c r="B26" t="s">
        <v>98</v>
      </c>
      <c r="D26" s="29"/>
    </row>
    <row r="27" spans="1:6" x14ac:dyDescent="0.2">
      <c r="A27" t="s">
        <v>38</v>
      </c>
      <c r="B27" t="s">
        <v>99</v>
      </c>
    </row>
    <row r="28" spans="1:6" x14ac:dyDescent="0.2">
      <c r="A28" t="s">
        <v>38</v>
      </c>
      <c r="B28" t="s">
        <v>100</v>
      </c>
    </row>
    <row r="29" spans="1:6" x14ac:dyDescent="0.2">
      <c r="A29" t="s">
        <v>38</v>
      </c>
      <c r="B29" t="s">
        <v>101</v>
      </c>
    </row>
    <row r="30" spans="1:6" x14ac:dyDescent="0.2">
      <c r="A30" t="s">
        <v>38</v>
      </c>
      <c r="B30" t="s">
        <v>102</v>
      </c>
    </row>
    <row r="31" spans="1:6" x14ac:dyDescent="0.2">
      <c r="A31" t="s">
        <v>38</v>
      </c>
      <c r="B31" t="s">
        <v>103</v>
      </c>
    </row>
    <row r="32" spans="1:6" x14ac:dyDescent="0.2">
      <c r="A32" t="s">
        <v>38</v>
      </c>
      <c r="B32" t="s">
        <v>104</v>
      </c>
    </row>
    <row r="33" spans="1:2" x14ac:dyDescent="0.2">
      <c r="A33" t="s">
        <v>38</v>
      </c>
      <c r="B33" t="s">
        <v>105</v>
      </c>
    </row>
    <row r="34" spans="1:2" x14ac:dyDescent="0.2">
      <c r="A34" t="s">
        <v>38</v>
      </c>
      <c r="B34" t="s">
        <v>106</v>
      </c>
    </row>
    <row r="35" spans="1:2" x14ac:dyDescent="0.2">
      <c r="A35" t="s">
        <v>38</v>
      </c>
      <c r="B35" t="s">
        <v>107</v>
      </c>
    </row>
    <row r="36" spans="1:2" x14ac:dyDescent="0.2">
      <c r="A36" t="s">
        <v>38</v>
      </c>
      <c r="B36" t="s">
        <v>108</v>
      </c>
    </row>
    <row r="37" spans="1:2" x14ac:dyDescent="0.2">
      <c r="A37" t="s">
        <v>38</v>
      </c>
      <c r="B37" t="s">
        <v>109</v>
      </c>
    </row>
    <row r="38" spans="1:2" x14ac:dyDescent="0.2">
      <c r="A38" t="s">
        <v>38</v>
      </c>
      <c r="B38" t="s">
        <v>110</v>
      </c>
    </row>
    <row r="39" spans="1:2" x14ac:dyDescent="0.2">
      <c r="A39" t="s">
        <v>38</v>
      </c>
      <c r="B39" t="s">
        <v>111</v>
      </c>
    </row>
    <row r="40" spans="1:2" x14ac:dyDescent="0.2">
      <c r="A40" t="s">
        <v>38</v>
      </c>
      <c r="B40" t="s">
        <v>112</v>
      </c>
    </row>
    <row r="41" spans="1:2" x14ac:dyDescent="0.2">
      <c r="A41" t="s">
        <v>38</v>
      </c>
      <c r="B41" t="s">
        <v>113</v>
      </c>
    </row>
    <row r="42" spans="1:2" x14ac:dyDescent="0.2">
      <c r="A42" t="s">
        <v>38</v>
      </c>
      <c r="B42" t="s">
        <v>114</v>
      </c>
    </row>
    <row r="43" spans="1:2" x14ac:dyDescent="0.2">
      <c r="A43" t="s">
        <v>38</v>
      </c>
      <c r="B43" t="s">
        <v>115</v>
      </c>
    </row>
    <row r="44" spans="1:2" x14ac:dyDescent="0.2">
      <c r="A44" t="s">
        <v>38</v>
      </c>
      <c r="B44" t="s">
        <v>116</v>
      </c>
    </row>
    <row r="45" spans="1:2" x14ac:dyDescent="0.2">
      <c r="A45" t="s">
        <v>38</v>
      </c>
      <c r="B45" t="s">
        <v>117</v>
      </c>
    </row>
    <row r="46" spans="1:2" x14ac:dyDescent="0.2">
      <c r="A46" t="s">
        <v>38</v>
      </c>
      <c r="B46" t="s">
        <v>118</v>
      </c>
    </row>
    <row r="47" spans="1:2" x14ac:dyDescent="0.2">
      <c r="A47" t="s">
        <v>38</v>
      </c>
      <c r="B47" t="s">
        <v>119</v>
      </c>
    </row>
    <row r="48" spans="1:2" x14ac:dyDescent="0.2">
      <c r="A48" t="s">
        <v>38</v>
      </c>
      <c r="B48" t="s">
        <v>120</v>
      </c>
    </row>
    <row r="49" spans="1:2" x14ac:dyDescent="0.2">
      <c r="A49" t="s">
        <v>38</v>
      </c>
      <c r="B49" t="s">
        <v>121</v>
      </c>
    </row>
    <row r="50" spans="1:2" x14ac:dyDescent="0.2">
      <c r="A50" t="s">
        <v>38</v>
      </c>
      <c r="B50" t="s">
        <v>122</v>
      </c>
    </row>
    <row r="51" spans="1:2" x14ac:dyDescent="0.2">
      <c r="A51" t="s">
        <v>38</v>
      </c>
      <c r="B51" t="s">
        <v>123</v>
      </c>
    </row>
    <row r="52" spans="1:2" x14ac:dyDescent="0.2">
      <c r="A52" t="s">
        <v>38</v>
      </c>
      <c r="B52" t="s">
        <v>124</v>
      </c>
    </row>
    <row r="53" spans="1:2" x14ac:dyDescent="0.2">
      <c r="A53" t="s">
        <v>38</v>
      </c>
      <c r="B53" t="s">
        <v>125</v>
      </c>
    </row>
    <row r="54" spans="1:2" x14ac:dyDescent="0.2">
      <c r="A54" t="s">
        <v>38</v>
      </c>
      <c r="B54" t="s">
        <v>126</v>
      </c>
    </row>
    <row r="55" spans="1:2" x14ac:dyDescent="0.2">
      <c r="A55" t="s">
        <v>38</v>
      </c>
      <c r="B55" t="s">
        <v>127</v>
      </c>
    </row>
    <row r="56" spans="1:2" x14ac:dyDescent="0.2">
      <c r="A56" t="s">
        <v>38</v>
      </c>
      <c r="B56" t="s">
        <v>128</v>
      </c>
    </row>
    <row r="57" spans="1:2" x14ac:dyDescent="0.2">
      <c r="A57" t="s">
        <v>38</v>
      </c>
      <c r="B57" t="s">
        <v>129</v>
      </c>
    </row>
    <row r="58" spans="1:2" x14ac:dyDescent="0.2">
      <c r="A58" t="s">
        <v>38</v>
      </c>
      <c r="B58" t="s">
        <v>130</v>
      </c>
    </row>
    <row r="59" spans="1:2" x14ac:dyDescent="0.2">
      <c r="A59" t="s">
        <v>38</v>
      </c>
      <c r="B59" t="s">
        <v>131</v>
      </c>
    </row>
    <row r="60" spans="1:2" x14ac:dyDescent="0.2">
      <c r="A60" t="s">
        <v>38</v>
      </c>
      <c r="B60" t="s">
        <v>132</v>
      </c>
    </row>
    <row r="61" spans="1:2" x14ac:dyDescent="0.2">
      <c r="A61" t="s">
        <v>38</v>
      </c>
      <c r="B61" t="s">
        <v>133</v>
      </c>
    </row>
    <row r="62" spans="1:2" x14ac:dyDescent="0.2">
      <c r="A62" t="s">
        <v>38</v>
      </c>
      <c r="B62" t="s">
        <v>134</v>
      </c>
    </row>
    <row r="63" spans="1:2" x14ac:dyDescent="0.2">
      <c r="A63" t="s">
        <v>38</v>
      </c>
      <c r="B63" t="s">
        <v>135</v>
      </c>
    </row>
    <row r="64" spans="1:2" x14ac:dyDescent="0.2">
      <c r="A64" t="s">
        <v>38</v>
      </c>
      <c r="B64" t="s">
        <v>136</v>
      </c>
    </row>
    <row r="65" spans="1:2" x14ac:dyDescent="0.2">
      <c r="A65" t="s">
        <v>38</v>
      </c>
      <c r="B65" t="s">
        <v>137</v>
      </c>
    </row>
    <row r="66" spans="1:2" x14ac:dyDescent="0.2">
      <c r="A66" t="s">
        <v>38</v>
      </c>
      <c r="B66" t="s">
        <v>138</v>
      </c>
    </row>
    <row r="67" spans="1:2" x14ac:dyDescent="0.2">
      <c r="A67" t="s">
        <v>38</v>
      </c>
      <c r="B67" t="s">
        <v>139</v>
      </c>
    </row>
    <row r="68" spans="1:2" x14ac:dyDescent="0.2">
      <c r="A68" t="s">
        <v>38</v>
      </c>
      <c r="B68" t="s">
        <v>140</v>
      </c>
    </row>
    <row r="69" spans="1:2" x14ac:dyDescent="0.2">
      <c r="A69" t="s">
        <v>38</v>
      </c>
      <c r="B69" t="s">
        <v>141</v>
      </c>
    </row>
    <row r="70" spans="1:2" x14ac:dyDescent="0.2">
      <c r="A70" t="s">
        <v>38</v>
      </c>
      <c r="B70" t="s">
        <v>142</v>
      </c>
    </row>
    <row r="71" spans="1:2" x14ac:dyDescent="0.2">
      <c r="A71" t="s">
        <v>38</v>
      </c>
      <c r="B71" t="s">
        <v>143</v>
      </c>
    </row>
    <row r="72" spans="1:2" x14ac:dyDescent="0.2">
      <c r="A72" t="s">
        <v>38</v>
      </c>
      <c r="B72" t="s">
        <v>144</v>
      </c>
    </row>
    <row r="73" spans="1:2" x14ac:dyDescent="0.2">
      <c r="A73" t="s">
        <v>38</v>
      </c>
      <c r="B73" t="s">
        <v>145</v>
      </c>
    </row>
    <row r="74" spans="1:2" x14ac:dyDescent="0.2">
      <c r="A74" t="s">
        <v>38</v>
      </c>
      <c r="B74" t="s">
        <v>146</v>
      </c>
    </row>
    <row r="75" spans="1:2" x14ac:dyDescent="0.2">
      <c r="A75" t="s">
        <v>38</v>
      </c>
      <c r="B75" t="s">
        <v>147</v>
      </c>
    </row>
    <row r="76" spans="1:2" x14ac:dyDescent="0.2">
      <c r="A76" t="s">
        <v>38</v>
      </c>
      <c r="B76" t="s">
        <v>148</v>
      </c>
    </row>
    <row r="77" spans="1:2" x14ac:dyDescent="0.2">
      <c r="A77" t="s">
        <v>38</v>
      </c>
      <c r="B77" t="s">
        <v>149</v>
      </c>
    </row>
    <row r="78" spans="1:2" x14ac:dyDescent="0.2">
      <c r="A78" t="s">
        <v>38</v>
      </c>
      <c r="B78" t="s">
        <v>150</v>
      </c>
    </row>
    <row r="79" spans="1:2" x14ac:dyDescent="0.2">
      <c r="A79" t="s">
        <v>38</v>
      </c>
      <c r="B79" t="s">
        <v>151</v>
      </c>
    </row>
    <row r="80" spans="1:2" x14ac:dyDescent="0.2">
      <c r="A80" t="s">
        <v>38</v>
      </c>
      <c r="B80" t="s">
        <v>152</v>
      </c>
    </row>
    <row r="81" spans="1:2" x14ac:dyDescent="0.2">
      <c r="A81" t="s">
        <v>38</v>
      </c>
      <c r="B81" t="s">
        <v>153</v>
      </c>
    </row>
    <row r="82" spans="1:2" x14ac:dyDescent="0.2">
      <c r="A82" t="s">
        <v>38</v>
      </c>
      <c r="B82" t="s">
        <v>154</v>
      </c>
    </row>
    <row r="83" spans="1:2" x14ac:dyDescent="0.2">
      <c r="A83" t="s">
        <v>38</v>
      </c>
      <c r="B83" t="s">
        <v>155</v>
      </c>
    </row>
    <row r="84" spans="1:2" x14ac:dyDescent="0.2">
      <c r="A84" t="s">
        <v>38</v>
      </c>
      <c r="B84" t="s">
        <v>156</v>
      </c>
    </row>
    <row r="85" spans="1:2" x14ac:dyDescent="0.2">
      <c r="A85" t="s">
        <v>38</v>
      </c>
      <c r="B85" t="s">
        <v>157</v>
      </c>
    </row>
    <row r="86" spans="1:2" x14ac:dyDescent="0.2">
      <c r="A86" t="s">
        <v>38</v>
      </c>
      <c r="B86" t="s">
        <v>158</v>
      </c>
    </row>
    <row r="87" spans="1:2" x14ac:dyDescent="0.2">
      <c r="A87" t="s">
        <v>38</v>
      </c>
      <c r="B87" t="s">
        <v>159</v>
      </c>
    </row>
    <row r="88" spans="1:2" x14ac:dyDescent="0.2">
      <c r="A88" t="s">
        <v>38</v>
      </c>
      <c r="B88" t="s">
        <v>160</v>
      </c>
    </row>
    <row r="89" spans="1:2" x14ac:dyDescent="0.2">
      <c r="A89" t="s">
        <v>38</v>
      </c>
      <c r="B89" t="s">
        <v>161</v>
      </c>
    </row>
    <row r="90" spans="1:2" x14ac:dyDescent="0.2">
      <c r="A90" t="s">
        <v>38</v>
      </c>
      <c r="B90" t="s">
        <v>162</v>
      </c>
    </row>
    <row r="91" spans="1:2" x14ac:dyDescent="0.2">
      <c r="A91" t="s">
        <v>38</v>
      </c>
      <c r="B91" t="s">
        <v>163</v>
      </c>
    </row>
    <row r="92" spans="1:2" x14ac:dyDescent="0.2">
      <c r="A92" t="s">
        <v>38</v>
      </c>
      <c r="B92" t="s">
        <v>164</v>
      </c>
    </row>
    <row r="93" spans="1:2" x14ac:dyDescent="0.2">
      <c r="A93" t="s">
        <v>38</v>
      </c>
      <c r="B93" t="s">
        <v>165</v>
      </c>
    </row>
    <row r="94" spans="1:2" x14ac:dyDescent="0.2">
      <c r="A94" t="s">
        <v>38</v>
      </c>
      <c r="B94" t="s">
        <v>166</v>
      </c>
    </row>
    <row r="95" spans="1:2" x14ac:dyDescent="0.2">
      <c r="A95" t="s">
        <v>38</v>
      </c>
      <c r="B95" t="s">
        <v>167</v>
      </c>
    </row>
    <row r="96" spans="1:2" x14ac:dyDescent="0.2">
      <c r="A96" t="s">
        <v>38</v>
      </c>
      <c r="B96" t="s">
        <v>168</v>
      </c>
    </row>
    <row r="97" spans="1:2" x14ac:dyDescent="0.2">
      <c r="A97" t="s">
        <v>38</v>
      </c>
      <c r="B97" t="s">
        <v>169</v>
      </c>
    </row>
    <row r="98" spans="1:2" x14ac:dyDescent="0.2">
      <c r="A98" t="s">
        <v>38</v>
      </c>
      <c r="B98" t="s">
        <v>170</v>
      </c>
    </row>
    <row r="99" spans="1:2" x14ac:dyDescent="0.2">
      <c r="A99" t="s">
        <v>38</v>
      </c>
      <c r="B99" t="s">
        <v>171</v>
      </c>
    </row>
    <row r="100" spans="1:2" x14ac:dyDescent="0.2">
      <c r="A100" t="s">
        <v>38</v>
      </c>
      <c r="B100" t="s">
        <v>172</v>
      </c>
    </row>
    <row r="101" spans="1:2" x14ac:dyDescent="0.2">
      <c r="A101" t="s">
        <v>38</v>
      </c>
      <c r="B101" t="s">
        <v>173</v>
      </c>
    </row>
    <row r="102" spans="1:2" x14ac:dyDescent="0.2">
      <c r="A102" t="s">
        <v>38</v>
      </c>
      <c r="B102" t="s">
        <v>174</v>
      </c>
    </row>
    <row r="103" spans="1:2" x14ac:dyDescent="0.2">
      <c r="A103" t="s">
        <v>38</v>
      </c>
      <c r="B103" t="s">
        <v>175</v>
      </c>
    </row>
    <row r="104" spans="1:2" x14ac:dyDescent="0.2">
      <c r="A104" t="s">
        <v>38</v>
      </c>
      <c r="B104" t="s">
        <v>176</v>
      </c>
    </row>
    <row r="105" spans="1:2" x14ac:dyDescent="0.2">
      <c r="A105" t="s">
        <v>38</v>
      </c>
      <c r="B105" t="s">
        <v>177</v>
      </c>
    </row>
    <row r="106" spans="1:2" x14ac:dyDescent="0.2">
      <c r="A106" t="s">
        <v>38</v>
      </c>
      <c r="B106" t="s">
        <v>178</v>
      </c>
    </row>
    <row r="107" spans="1:2" x14ac:dyDescent="0.2">
      <c r="A107" t="s">
        <v>38</v>
      </c>
      <c r="B107" t="s">
        <v>179</v>
      </c>
    </row>
    <row r="108" spans="1:2" x14ac:dyDescent="0.2">
      <c r="A108" t="s">
        <v>38</v>
      </c>
      <c r="B108" t="s">
        <v>180</v>
      </c>
    </row>
    <row r="109" spans="1:2" x14ac:dyDescent="0.2">
      <c r="A109" t="s">
        <v>38</v>
      </c>
      <c r="B109" t="s">
        <v>181</v>
      </c>
    </row>
    <row r="110" spans="1:2" x14ac:dyDescent="0.2">
      <c r="A110" t="s">
        <v>38</v>
      </c>
      <c r="B110" t="s">
        <v>182</v>
      </c>
    </row>
    <row r="111" spans="1:2" x14ac:dyDescent="0.2">
      <c r="A111" t="s">
        <v>38</v>
      </c>
      <c r="B111" t="s">
        <v>183</v>
      </c>
    </row>
    <row r="112" spans="1:2" x14ac:dyDescent="0.2">
      <c r="A112" t="s">
        <v>38</v>
      </c>
      <c r="B112" t="s">
        <v>184</v>
      </c>
    </row>
    <row r="113" spans="1:2" x14ac:dyDescent="0.2">
      <c r="A113" t="s">
        <v>38</v>
      </c>
      <c r="B113" t="s">
        <v>185</v>
      </c>
    </row>
    <row r="114" spans="1:2" x14ac:dyDescent="0.2">
      <c r="A114" t="s">
        <v>38</v>
      </c>
      <c r="B114" t="s">
        <v>186</v>
      </c>
    </row>
    <row r="115" spans="1:2" x14ac:dyDescent="0.2">
      <c r="A115" t="s">
        <v>38</v>
      </c>
      <c r="B115" t="s">
        <v>187</v>
      </c>
    </row>
    <row r="116" spans="1:2" x14ac:dyDescent="0.2">
      <c r="A116" t="s">
        <v>38</v>
      </c>
      <c r="B116" t="s">
        <v>188</v>
      </c>
    </row>
    <row r="117" spans="1:2" x14ac:dyDescent="0.2">
      <c r="A117" t="s">
        <v>38</v>
      </c>
      <c r="B117" t="s">
        <v>189</v>
      </c>
    </row>
    <row r="118" spans="1:2" x14ac:dyDescent="0.2">
      <c r="A118" t="s">
        <v>38</v>
      </c>
      <c r="B118" t="s">
        <v>190</v>
      </c>
    </row>
    <row r="119" spans="1:2" x14ac:dyDescent="0.2">
      <c r="A119" t="s">
        <v>38</v>
      </c>
      <c r="B119" t="s">
        <v>191</v>
      </c>
    </row>
    <row r="120" spans="1:2" x14ac:dyDescent="0.2">
      <c r="A120" t="s">
        <v>38</v>
      </c>
      <c r="B120" t="s">
        <v>192</v>
      </c>
    </row>
    <row r="121" spans="1:2" x14ac:dyDescent="0.2">
      <c r="A121" t="s">
        <v>38</v>
      </c>
      <c r="B121" t="s">
        <v>193</v>
      </c>
    </row>
    <row r="122" spans="1:2" x14ac:dyDescent="0.2">
      <c r="A122" t="s">
        <v>38</v>
      </c>
      <c r="B122" t="s">
        <v>194</v>
      </c>
    </row>
    <row r="123" spans="1:2" x14ac:dyDescent="0.2">
      <c r="A123" t="s">
        <v>38</v>
      </c>
      <c r="B123" t="s">
        <v>195</v>
      </c>
    </row>
    <row r="124" spans="1:2" x14ac:dyDescent="0.2">
      <c r="A124" t="s">
        <v>38</v>
      </c>
      <c r="B124" t="s">
        <v>196</v>
      </c>
    </row>
    <row r="125" spans="1:2" x14ac:dyDescent="0.2">
      <c r="A125" t="s">
        <v>38</v>
      </c>
      <c r="B125" t="s">
        <v>197</v>
      </c>
    </row>
    <row r="126" spans="1:2" x14ac:dyDescent="0.2">
      <c r="A126" t="s">
        <v>38</v>
      </c>
      <c r="B126" t="s">
        <v>198</v>
      </c>
    </row>
    <row r="127" spans="1:2" x14ac:dyDescent="0.2">
      <c r="A127" t="s">
        <v>38</v>
      </c>
      <c r="B127" t="s">
        <v>199</v>
      </c>
    </row>
    <row r="128" spans="1:2" x14ac:dyDescent="0.2">
      <c r="A128" t="s">
        <v>38</v>
      </c>
      <c r="B128" t="s">
        <v>200</v>
      </c>
    </row>
    <row r="129" spans="1:2" x14ac:dyDescent="0.2">
      <c r="A129" t="s">
        <v>38</v>
      </c>
      <c r="B129" t="s">
        <v>201</v>
      </c>
    </row>
    <row r="130" spans="1:2" x14ac:dyDescent="0.2">
      <c r="A130" t="s">
        <v>38</v>
      </c>
      <c r="B130" t="s">
        <v>202</v>
      </c>
    </row>
    <row r="131" spans="1:2" x14ac:dyDescent="0.2">
      <c r="A131" t="s">
        <v>38</v>
      </c>
      <c r="B131" t="s">
        <v>203</v>
      </c>
    </row>
    <row r="132" spans="1:2" x14ac:dyDescent="0.2">
      <c r="A132" t="s">
        <v>42</v>
      </c>
      <c r="B132" t="s">
        <v>217</v>
      </c>
    </row>
    <row r="133" spans="1:2" x14ac:dyDescent="0.2">
      <c r="A133" t="s">
        <v>42</v>
      </c>
      <c r="B133" t="s">
        <v>218</v>
      </c>
    </row>
    <row r="134" spans="1:2" x14ac:dyDescent="0.2">
      <c r="A134" t="s">
        <v>42</v>
      </c>
      <c r="B134" t="s">
        <v>219</v>
      </c>
    </row>
    <row r="135" spans="1:2" x14ac:dyDescent="0.2">
      <c r="A135" t="s">
        <v>69</v>
      </c>
      <c r="B135" t="s">
        <v>214</v>
      </c>
    </row>
    <row r="136" spans="1:2" x14ac:dyDescent="0.2">
      <c r="A136" t="s">
        <v>69</v>
      </c>
      <c r="B136" t="s">
        <v>215</v>
      </c>
    </row>
    <row r="137" spans="1:2" x14ac:dyDescent="0.2">
      <c r="A137" t="s">
        <v>69</v>
      </c>
      <c r="B137" t="s">
        <v>216</v>
      </c>
    </row>
    <row r="138" spans="1:2" x14ac:dyDescent="0.2">
      <c r="A138" t="s">
        <v>70</v>
      </c>
      <c r="B138" t="s">
        <v>233</v>
      </c>
    </row>
    <row r="139" spans="1:2" x14ac:dyDescent="0.2">
      <c r="A139" t="s">
        <v>70</v>
      </c>
      <c r="B139" t="s">
        <v>234</v>
      </c>
    </row>
    <row r="140" spans="1:2" x14ac:dyDescent="0.2">
      <c r="A140" t="s">
        <v>70</v>
      </c>
      <c r="B140" t="s">
        <v>235</v>
      </c>
    </row>
    <row r="141" spans="1:2" x14ac:dyDescent="0.2">
      <c r="A141" t="s">
        <v>71</v>
      </c>
      <c r="B141" t="s">
        <v>236</v>
      </c>
    </row>
    <row r="142" spans="1:2" x14ac:dyDescent="0.2">
      <c r="A142" t="s">
        <v>86</v>
      </c>
      <c r="B142" t="s">
        <v>237</v>
      </c>
    </row>
    <row r="143" spans="1:2" x14ac:dyDescent="0.2">
      <c r="A143" t="s">
        <v>86</v>
      </c>
      <c r="B143" t="s">
        <v>238</v>
      </c>
    </row>
    <row r="144" spans="1:2" x14ac:dyDescent="0.2">
      <c r="A144" t="s">
        <v>86</v>
      </c>
      <c r="B144" t="s">
        <v>239</v>
      </c>
    </row>
    <row r="145" spans="1:2" x14ac:dyDescent="0.2">
      <c r="A145" t="s">
        <v>86</v>
      </c>
      <c r="B145" t="s">
        <v>240</v>
      </c>
    </row>
    <row r="146" spans="1:2" x14ac:dyDescent="0.2">
      <c r="A146" t="s">
        <v>86</v>
      </c>
      <c r="B146" t="s">
        <v>54</v>
      </c>
    </row>
    <row r="147" spans="1:2" x14ac:dyDescent="0.2">
      <c r="A147" t="s">
        <v>72</v>
      </c>
      <c r="B147" t="s">
        <v>241</v>
      </c>
    </row>
    <row r="148" spans="1:2" x14ac:dyDescent="0.2">
      <c r="A148" t="s">
        <v>72</v>
      </c>
      <c r="B148" t="s">
        <v>242</v>
      </c>
    </row>
    <row r="149" spans="1:2" x14ac:dyDescent="0.2">
      <c r="A149" t="s">
        <v>72</v>
      </c>
      <c r="B149" t="s">
        <v>243</v>
      </c>
    </row>
    <row r="150" spans="1:2" x14ac:dyDescent="0.2">
      <c r="A150" t="s">
        <v>72</v>
      </c>
      <c r="B150" t="s">
        <v>244</v>
      </c>
    </row>
    <row r="151" spans="1:2" x14ac:dyDescent="0.2">
      <c r="A151" t="s">
        <v>72</v>
      </c>
      <c r="B151" t="s">
        <v>245</v>
      </c>
    </row>
    <row r="152" spans="1:2" x14ac:dyDescent="0.2">
      <c r="A152" t="s">
        <v>72</v>
      </c>
      <c r="B152" t="s">
        <v>246</v>
      </c>
    </row>
    <row r="153" spans="1:2" x14ac:dyDescent="0.2">
      <c r="A153" t="s">
        <v>72</v>
      </c>
      <c r="B153" t="s">
        <v>247</v>
      </c>
    </row>
    <row r="154" spans="1:2" x14ac:dyDescent="0.2">
      <c r="A154" t="s">
        <v>72</v>
      </c>
      <c r="B154" t="s">
        <v>248</v>
      </c>
    </row>
    <row r="155" spans="1:2" x14ac:dyDescent="0.2">
      <c r="A155" t="s">
        <v>72</v>
      </c>
      <c r="B155" t="s">
        <v>249</v>
      </c>
    </row>
    <row r="156" spans="1:2" x14ac:dyDescent="0.2">
      <c r="A156" t="s">
        <v>72</v>
      </c>
      <c r="B156" t="s">
        <v>250</v>
      </c>
    </row>
    <row r="157" spans="1:2" x14ac:dyDescent="0.2">
      <c r="A157" t="s">
        <v>72</v>
      </c>
      <c r="B157" t="s">
        <v>251</v>
      </c>
    </row>
    <row r="158" spans="1:2" x14ac:dyDescent="0.2">
      <c r="A158" t="s">
        <v>72</v>
      </c>
      <c r="B158" t="s">
        <v>252</v>
      </c>
    </row>
    <row r="159" spans="1:2" x14ac:dyDescent="0.2">
      <c r="A159" t="s">
        <v>90</v>
      </c>
      <c r="B159" t="s">
        <v>253</v>
      </c>
    </row>
    <row r="160" spans="1:2" x14ac:dyDescent="0.2">
      <c r="A160" t="s">
        <v>90</v>
      </c>
      <c r="B160" t="s">
        <v>254</v>
      </c>
    </row>
    <row r="161" spans="1:2" x14ac:dyDescent="0.2">
      <c r="A161" t="s">
        <v>90</v>
      </c>
      <c r="B161" t="s">
        <v>255</v>
      </c>
    </row>
    <row r="162" spans="1:2" x14ac:dyDescent="0.2">
      <c r="A162" t="s">
        <v>90</v>
      </c>
      <c r="B162" t="s">
        <v>256</v>
      </c>
    </row>
    <row r="163" spans="1:2" x14ac:dyDescent="0.2">
      <c r="A163" t="s">
        <v>90</v>
      </c>
      <c r="B163" t="s">
        <v>257</v>
      </c>
    </row>
    <row r="164" spans="1:2" x14ac:dyDescent="0.2">
      <c r="A164" t="s">
        <v>90</v>
      </c>
      <c r="B164" t="s">
        <v>258</v>
      </c>
    </row>
    <row r="165" spans="1:2" x14ac:dyDescent="0.2">
      <c r="A165" t="s">
        <v>90</v>
      </c>
      <c r="B165" t="s">
        <v>259</v>
      </c>
    </row>
    <row r="166" spans="1:2" x14ac:dyDescent="0.2">
      <c r="A166" t="s">
        <v>90</v>
      </c>
      <c r="B166" t="s">
        <v>260</v>
      </c>
    </row>
    <row r="167" spans="1:2" x14ac:dyDescent="0.2">
      <c r="A167" t="s">
        <v>37</v>
      </c>
      <c r="B167" t="s">
        <v>264</v>
      </c>
    </row>
    <row r="168" spans="1:2" x14ac:dyDescent="0.2">
      <c r="A168" t="s">
        <v>37</v>
      </c>
      <c r="B168" t="s">
        <v>265</v>
      </c>
    </row>
    <row r="169" spans="1:2" x14ac:dyDescent="0.2">
      <c r="A169" t="s">
        <v>37</v>
      </c>
      <c r="B169" t="s">
        <v>266</v>
      </c>
    </row>
    <row r="170" spans="1:2" x14ac:dyDescent="0.2">
      <c r="A170" t="s">
        <v>37</v>
      </c>
      <c r="B170" t="s">
        <v>177</v>
      </c>
    </row>
    <row r="171" spans="1:2" x14ac:dyDescent="0.2">
      <c r="A171" t="s">
        <v>16</v>
      </c>
      <c r="B171" t="s">
        <v>267</v>
      </c>
    </row>
    <row r="172" spans="1:2" x14ac:dyDescent="0.2">
      <c r="A172" t="s">
        <v>16</v>
      </c>
      <c r="B172" t="s">
        <v>268</v>
      </c>
    </row>
    <row r="173" spans="1:2" x14ac:dyDescent="0.2">
      <c r="A173" t="s">
        <v>17</v>
      </c>
      <c r="B173" t="s">
        <v>269</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vt:i4>
      </vt:variant>
    </vt:vector>
  </HeadingPairs>
  <TitlesOfParts>
    <vt:vector size="33" baseType="lpstr">
      <vt:lpstr>Hints and Tips</vt:lpstr>
      <vt:lpstr>Study</vt:lpstr>
      <vt:lpstr>TS</vt:lpstr>
      <vt:lpstr>TI</vt:lpstr>
      <vt:lpstr>Trial Design Matrix</vt:lpstr>
      <vt:lpstr>TA</vt:lpstr>
      <vt:lpstr>TE</vt:lpstr>
      <vt:lpstr>TV</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Marshall</dc:creator>
  <cp:lastModifiedBy>Dante Di Tommaso</cp:lastModifiedBy>
  <cp:lastPrinted>2009-07-02T18:05:40Z</cp:lastPrinted>
  <dcterms:created xsi:type="dcterms:W3CDTF">2007-04-11T10:29:50Z</dcterms:created>
  <dcterms:modified xsi:type="dcterms:W3CDTF">2019-09-28T19:40:31Z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