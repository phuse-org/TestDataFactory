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E0459231\dev\TestDataFactory\TrialDesign-Tool\"/>
    </mc:Choice>
  </mc:AlternateContent>
  <xr:revisionPtr revIDLastSave="0" documentId="13_ncr:1_{B9E385AC-D74F-485D-BF27-B077005845F5}" xr6:coauthVersionLast="45" xr6:coauthVersionMax="45" xr10:uidLastSave="{00000000-0000-0000-0000-000000000000}"/>
  <bookViews>
    <workbookView xWindow="-16830" yWindow="-14250" windowWidth="22425" windowHeight="13725" tabRatio="719" activeTab="1" xr2:uid="{00000000-000D-0000-FFFF-FFFF00000000}"/>
  </bookViews>
  <sheets>
    <sheet name="Hints and Tips" sheetId="12" r:id="rId1"/>
    <sheet name="Interface" sheetId="14" r:id="rId2"/>
    <sheet name="Study" sheetId="9" r:id="rId3"/>
    <sheet name="TS" sheetId="7" r:id="rId4"/>
    <sheet name="TV" sheetId="3" r:id="rId5"/>
    <sheet name="SoA" sheetId="15" r:id="rId6"/>
    <sheet name="TI" sheetId="4" r:id="rId7"/>
    <sheet name="TDF_Configuration" sheetId="13" r:id="rId8"/>
    <sheet name="Trial Design Matrix" sheetId="10" r:id="rId9"/>
    <sheet name="TA" sheetId="2" r:id="rId10"/>
    <sheet name="TE" sheetId="1" r:id="rId11"/>
    <sheet name="Lookup" sheetId="11" r:id="rId12"/>
  </sheets>
  <functionGroups builtInGroupCount="19"/>
  <definedNames>
    <definedName name="_xlnm._FilterDatabase" localSheetId="9" hidden="1">TA!$C$1:$C$11</definedName>
    <definedName name="_xlnm._FilterDatabase" localSheetId="10" hidden="1">TE!$C$1:$C$2</definedName>
    <definedName name="_xlnm._FilterDatabase" localSheetId="3" hidden="1">TS!$A$1:$G$29</definedName>
    <definedName name="ADAPT">Lookup!$B$174:$B$175</definedName>
    <definedName name="AGESPAN">Lookup!$B$1:$B$8</definedName>
    <definedName name="AGEU">Lookup!$B$9:$B$13</definedName>
    <definedName name="ARMCD">Lookup!$D$2:$D$4</definedName>
    <definedName name="_xlnm.Criteria" localSheetId="11">Lookup!$F$1</definedName>
    <definedName name="DESIGN">Lookup!$B$167:$B$170</definedName>
    <definedName name="ETCD">Lookup!$F$2</definedName>
    <definedName name="_xlnm.Extract" localSheetId="11">Lookup!$F$1</definedName>
    <definedName name="IECAT">Lookup!$B$14:$B$15</definedName>
    <definedName name="NY">Lookup!$B$16:$B$19</definedName>
    <definedName name="ROUTE">Lookup!$B$20:$B$131</definedName>
    <definedName name="SEXPOP">Lookup!$B$132:$B$134</definedName>
    <definedName name="StudyID">Study!$C$2</definedName>
    <definedName name="TA">TA!$A$1:$J$11</definedName>
    <definedName name="TBLIND">Lookup!$B$135:$B$137</definedName>
    <definedName name="TCNTRL">Lookup!$B$138:$B$140</definedName>
    <definedName name="TDIGRP">Lookup!$B$141</definedName>
    <definedName name="TE">TE!$A$1:$G$2</definedName>
    <definedName name="TI">TI!$A$1:$H$18</definedName>
    <definedName name="TINDTP">Lookup!$B$142:$B$146</definedName>
    <definedName name="TPHASE">Lookup!$B$147:$B$158</definedName>
    <definedName name="TS">TS!$A$1:$G$29</definedName>
    <definedName name="TTYPE">Lookup!$B$159:$B$166</definedName>
    <definedName name="TV">TV!$A$1:$I$18</definedName>
    <definedName name="TVENRL">Lookup!$B$173</definedName>
    <definedName name="TVSTRL">Lookup!$B$171:$B$172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15" l="1"/>
  <c r="A2" i="1" l="1"/>
  <c r="G10" i="2"/>
  <c r="A10" i="2"/>
  <c r="G9" i="2"/>
  <c r="A9" i="2"/>
  <c r="G8" i="2"/>
  <c r="A8" i="2"/>
  <c r="G7" i="2"/>
  <c r="A7" i="2"/>
  <c r="G6" i="2"/>
  <c r="A6" i="2"/>
  <c r="G5" i="2"/>
  <c r="A5" i="2"/>
  <c r="G4" i="2"/>
  <c r="A4" i="2"/>
  <c r="G3" i="2"/>
  <c r="A3" i="2"/>
  <c r="G2" i="2"/>
  <c r="A2" i="2"/>
  <c r="A21" i="7"/>
  <c r="B21" i="7"/>
  <c r="A22" i="7"/>
  <c r="B22" i="7"/>
  <c r="A23" i="7"/>
  <c r="B23" i="7"/>
  <c r="A24" i="7"/>
  <c r="B24" i="7"/>
  <c r="B7" i="7"/>
  <c r="A7" i="7"/>
  <c r="B8" i="7"/>
  <c r="A8" i="7"/>
  <c r="B2" i="7" l="1"/>
  <c r="A2" i="7"/>
  <c r="B4" i="7" l="1"/>
  <c r="A4" i="7"/>
  <c r="A6" i="4" l="1"/>
  <c r="A4" i="4"/>
  <c r="A3" i="4"/>
  <c r="B28" i="7"/>
  <c r="B27" i="7"/>
  <c r="A28" i="7"/>
  <c r="A27" i="7"/>
  <c r="A11" i="3"/>
  <c r="A10" i="3"/>
  <c r="A9" i="3"/>
  <c r="A8" i="3"/>
  <c r="A7" i="3"/>
  <c r="A6" i="3"/>
  <c r="A5" i="3"/>
  <c r="A4" i="3"/>
  <c r="A3" i="3"/>
  <c r="A2" i="3"/>
  <c r="A2" i="4"/>
  <c r="A5" i="4"/>
  <c r="A3" i="7"/>
  <c r="B3" i="7"/>
  <c r="A5" i="7"/>
  <c r="B5" i="7"/>
  <c r="A6" i="7"/>
  <c r="B6" i="7"/>
  <c r="A9" i="7"/>
  <c r="B9" i="7"/>
  <c r="A10" i="7"/>
  <c r="B10" i="7"/>
  <c r="A11" i="7"/>
  <c r="B11" i="7"/>
  <c r="A12" i="7"/>
  <c r="B12" i="7"/>
  <c r="A13" i="7"/>
  <c r="B13" i="7"/>
  <c r="A14" i="7"/>
  <c r="B14" i="7"/>
  <c r="A15" i="7"/>
  <c r="B15" i="7"/>
  <c r="A16" i="7"/>
  <c r="B16" i="7"/>
  <c r="A17" i="7"/>
  <c r="B17" i="7"/>
  <c r="A18" i="7"/>
  <c r="B18" i="7"/>
  <c r="A19" i="7"/>
  <c r="B19" i="7"/>
  <c r="A20" i="7"/>
  <c r="B20" i="7"/>
  <c r="A25" i="7"/>
  <c r="B25" i="7"/>
  <c r="A26" i="7"/>
  <c r="B26" i="7"/>
  <c r="A29" i="7"/>
  <c r="B2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5" authorId="0" shapeId="0" xr:uid="{00000000-0006-0000-0200-00000100000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<sst xmlns="http://schemas.openxmlformats.org/spreadsheetml/2006/main" count="682" uniqueCount="396">
  <si>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</si>
  <si>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</si>
  <si>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</si>
  <si>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</si>
  <si>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</si>
  <si>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</si>
  <si>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</si>
  <si>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</si>
  <si>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</si>
  <si>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</si>
  <si>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</si>
  <si>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</si>
  <si>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</si>
  <si>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</si>
  <si>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</si>
  <si>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</si>
  <si>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</si>
  <si>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</si>
  <si>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</si>
  <si>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</si>
  <si>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</si>
  <si>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</si>
  <si>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</si>
  <si>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</si>
  <si>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</si>
  <si>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</si>
  <si>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</si>
  <si>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</si>
  <si>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</si>
  <si>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</si>
  <si>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</si>
  <si>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</si>
  <si>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</si>
  <si>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</si>
  <si>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</si>
  <si>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</si>
  <si>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</si>
  <si>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</si>
  <si>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</si>
  <si>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</si>
  <si>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</si>
  <si>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</si>
  <si>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</si>
  <si>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</si>
  <si>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</si>
  <si>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</si>
  <si>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</si>
  <si>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</si>
  <si>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</si>
  <si>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</si>
  <si>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</si>
  <si>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</si>
  <si>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</si>
  <si>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</si>
  <si>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</si>
  <si>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</si>
  <si>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</si>
  <si>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</si>
  <si>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</si>
  <si>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</si>
  <si>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</si>
  <si>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STOPRULE</t>
  </si>
  <si>
    <t>Study Stop Rules</t>
  </si>
  <si>
    <t>TBLIND</t>
  </si>
  <si>
    <t>TCNTRL</t>
  </si>
  <si>
    <t>TDIGRP</t>
  </si>
  <si>
    <t>TPHASE</t>
  </si>
  <si>
    <t>Added on to Existing Treatments</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</si>
  <si>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</si>
  <si>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</si>
  <si>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</si>
  <si>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</si>
  <si>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</si>
  <si>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</si>
  <si>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</si>
  <si>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</si>
  <si>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</si>
  <si>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</si>
  <si>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</si>
  <si>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</si>
  <si>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</si>
  <si>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</si>
  <si>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</si>
  <si>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</si>
  <si>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</si>
  <si>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</si>
  <si>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</si>
  <si>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</si>
  <si>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</si>
  <si>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</si>
  <si>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</si>
  <si>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</si>
  <si>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</si>
  <si>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</si>
  <si>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</si>
  <si>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</si>
  <si>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</si>
  <si>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</si>
  <si>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</si>
  <si>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</si>
  <si>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</si>
  <si>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</si>
  <si>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</si>
  <si>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</si>
  <si>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</si>
  <si>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</si>
  <si>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</si>
  <si>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</si>
  <si>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</si>
  <si>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</si>
  <si>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</si>
  <si>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</si>
  <si>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</si>
  <si>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</si>
  <si>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</si>
  <si>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</si>
  <si>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</si>
  <si>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</si>
  <si>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</si>
  <si>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</si>
  <si>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</si>
  <si>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</si>
  <si>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</si>
  <si>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</si>
  <si>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</si>
  <si>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</si>
  <si>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</si>
  <si>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</si>
  <si>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</si>
  <si>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</si>
  <si>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</si>
  <si>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</si>
  <si>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</si>
  <si>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</si>
  <si>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</si>
  <si>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</si>
  <si>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</si>
  <si>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</si>
  <si>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</si>
  <si>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</si>
  <si>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</si>
  <si>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</si>
  <si>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</si>
  <si>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</si>
  <si>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</si>
  <si>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</si>
  <si>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</si>
  <si>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</si>
  <si>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</si>
  <si>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</si>
  <si>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</si>
  <si>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</si>
  <si>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</si>
  <si>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</si>
  <si>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</si>
  <si>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</si>
  <si>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</si>
  <si>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</si>
  <si>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</si>
  <si>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</si>
  <si>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</si>
  <si>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</si>
  <si>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</si>
  <si>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</si>
  <si>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</si>
  <si>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</si>
  <si>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</si>
  <si>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</si>
  <si>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</si>
  <si>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</si>
  <si>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</si>
  <si>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</si>
  <si>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</si>
  <si>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</si>
  <si>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</si>
  <si>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</si>
  <si>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</si>
  <si>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</si>
  <si>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</si>
  <si>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</si>
  <si>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</si>
  <si>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</si>
  <si>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</si>
  <si>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</si>
  <si>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</si>
  <si>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</si>
  <si>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</si>
  <si>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</si>
  <si>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</si>
  <si>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</si>
  <si>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</si>
  <si>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</si>
  <si>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</si>
  <si>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</si>
  <si>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</si>
  <si>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</si>
  <si>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</si>
  <si>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</si>
  <si>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</si>
  <si>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</si>
  <si>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</si>
  <si>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</si>
  <si>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</si>
  <si>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</si>
  <si>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</si>
  <si>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</si>
  <si>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</si>
  <si>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</si>
  <si>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</si>
  <si>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</si>
  <si>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</si>
  <si>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</si>
  <si>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</si>
  <si>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</si>
  <si>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</si>
  <si>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</si>
  <si>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</si>
  <si>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</si>
  <si>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</si>
  <si>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</si>
  <si>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</si>
  <si>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</si>
  <si>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</si>
  <si>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</si>
  <si>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</si>
  <si>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</si>
  <si>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</si>
  <si>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</si>
  <si>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</si>
  <si>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</si>
  <si>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</si>
  <si>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</si>
  <si>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</si>
  <si>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</si>
  <si>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</si>
  <si>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</si>
  <si>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</si>
  <si>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</si>
  <si>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</si>
  <si>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</si>
  <si>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</si>
  <si>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</si>
  <si>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</si>
  <si>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</si>
  <si>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</si>
  <si>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</si>
  <si>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</si>
  <si>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</si>
  <si>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</si>
  <si>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</si>
  <si>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</si>
  <si>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</si>
  <si>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</si>
  <si>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</si>
  <si>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</si>
  <si>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</si>
  <si>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</si>
  <si>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</si>
  <si>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</si>
  <si>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</si>
  <si>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</si>
  <si>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</si>
  <si>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</si>
  <si>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</si>
  <si>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</si>
  <si>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</si>
  <si>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</si>
  <si>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Trial Design Matrix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</si>
  <si>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</si>
  <si>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</si>
  <si>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</si>
  <si>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</si>
  <si>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</si>
  <si>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</si>
  <si>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</si>
  <si>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</si>
  <si>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</si>
  <si>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</si>
  <si>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</si>
  <si>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</si>
  <si>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</si>
  <si>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</si>
  <si>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</si>
  <si>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</si>
  <si>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</si>
  <si>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</si>
  <si>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</si>
  <si>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TA</t>
  </si>
  <si>
    <t>TE</t>
  </si>
  <si>
    <t>TV</t>
  </si>
  <si>
    <t>SCREENING</t>
  </si>
  <si>
    <t>DAY 1</t>
  </si>
  <si>
    <t>WEEK 1</t>
  </si>
  <si>
    <t>WEEK 2</t>
  </si>
  <si>
    <t>WEEK 3</t>
  </si>
  <si>
    <t>WEEK 5</t>
  </si>
  <si>
    <t>WEEK 6</t>
  </si>
  <si>
    <t>WEEK 7</t>
  </si>
  <si>
    <t>SSTDTC</t>
  </si>
  <si>
    <t>SENDTC</t>
  </si>
  <si>
    <t>Study Start Date</t>
  </si>
  <si>
    <t>Study End Date</t>
  </si>
  <si>
    <t>2019-03-01</t>
  </si>
  <si>
    <t>2020-03-01</t>
  </si>
  <si>
    <t>Test Data Factory Example Study</t>
  </si>
  <si>
    <t>SNOMED disease</t>
  </si>
  <si>
    <t>mg</t>
  </si>
  <si>
    <t>INC02</t>
  </si>
  <si>
    <t>INC03</t>
  </si>
  <si>
    <t>Second inclusion</t>
  </si>
  <si>
    <t>Third inclusion</t>
  </si>
  <si>
    <t>EXC02</t>
  </si>
  <si>
    <t>Second exclusion</t>
  </si>
  <si>
    <t>DM</t>
  </si>
  <si>
    <t>CFDOMAIN</t>
  </si>
  <si>
    <t>CFVAL</t>
  </si>
  <si>
    <t>CFPARMCD</t>
  </si>
  <si>
    <t>CFPARM</t>
  </si>
  <si>
    <t>ARMWGT</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</si>
  <si>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</si>
  <si>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</si>
  <si>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</si>
  <si>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</si>
  <si>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</si>
  <si>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</si>
  <si>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</si>
  <si>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</si>
  <si>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</si>
  <si>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</si>
  <si>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</si>
  <si>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</si>
  <si>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</si>
  <si>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t>ACT=2, pbo2=2</t>
  </si>
  <si>
    <t>SITEWGT</t>
  </si>
  <si>
    <r>
      <t xml:space="preserve">Comma-separated, relative weights of each study arm, to control generation of subject assignments. For example: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</si>
  <si>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r>
      <t xml:space="preserve">Weight of </t>
    </r>
    <r>
      <rPr>
        <b/>
        <sz val="8"/>
        <rFont val="Tahoma"/>
        <family val="2"/>
      </rPr>
      <t>arms</t>
    </r>
    <r>
      <rPr>
        <sz val="8"/>
        <rFont val="Tahoma"/>
        <family val="2"/>
      </rPr>
      <t>, balance of subject distribution</t>
    </r>
  </si>
  <si>
    <r>
      <t xml:space="preserve">Weight of </t>
    </r>
    <r>
      <rPr>
        <b/>
        <sz val="8"/>
        <rFont val="Tahoma"/>
        <family val="2"/>
      </rPr>
      <t>sites</t>
    </r>
    <r>
      <rPr>
        <sz val="8"/>
        <rFont val="Tahoma"/>
        <family val="2"/>
      </rPr>
      <t>, balance of subject distribution</t>
    </r>
  </si>
  <si>
    <t>US-001, EU-002=2, JP-003.01, 004 = 4, 005.01</t>
  </si>
  <si>
    <r>
      <t xml:space="preserve">Comma-separated SiteID-SiteWeight pairs, to control balance of subj enrollment at sites.
</t>
    </r>
    <r>
      <rPr>
        <b/>
        <sz val="8"/>
        <rFont val="Tahoma"/>
        <family val="2"/>
      </rPr>
      <t>Any numeric Site ID is expected as INTEGER</t>
    </r>
    <r>
      <rPr>
        <sz val="8"/>
        <rFont val="Tahoma"/>
        <family val="2"/>
      </rPr>
      <t xml:space="preserve">, e.g. 001, and never 001.01. "US-001.01" is a CHAR ID.
Unlike, ARMWGT, </t>
    </r>
    <r>
      <rPr>
        <b/>
        <sz val="8"/>
        <rFont val="Tahoma"/>
        <family val="2"/>
      </rPr>
      <t>any desired SiteID must appear here (no other source)</t>
    </r>
    <r>
      <rPr>
        <sz val="8"/>
        <rFont val="Tahoma"/>
        <family val="2"/>
      </rPr>
      <t>.
Like ARMWGT, by default enrollment across listed sites is balance. Boot enrollment at any site by specifying a value &gt;1 in CFVAL. For example:
"001, 002, 003" results in 3 equally balanced sites (as far as subjs enrolled)
"001=2, 002, 003" results in Site 001 enrolling twice as many subjs as the other individual sites</t>
    </r>
  </si>
  <si>
    <t>50 mg</t>
  </si>
  <si>
    <t>50MG</t>
  </si>
  <si>
    <t>LENVAR</t>
  </si>
  <si>
    <t>Variation in length (days)</t>
  </si>
  <si>
    <t>TRTLEN</t>
  </si>
  <si>
    <t>Treatment length (days)</t>
  </si>
  <si>
    <t>ENRLLEN</t>
  </si>
  <si>
    <t>Enrollment length (days)</t>
  </si>
  <si>
    <t>TS Worksheet: Trial Summary</t>
  </si>
  <si>
    <t>TI Worksheet: Trial Inclusion/Exclusion</t>
  </si>
  <si>
    <t>TA Worksheet: Trial Arms</t>
  </si>
  <si>
    <t>TE Worksheet: Trial Elements</t>
  </si>
  <si>
    <t>TV Worksheet: Trial Visits</t>
  </si>
  <si>
    <t>WEEK 8</t>
  </si>
  <si>
    <t>Safety</t>
  </si>
  <si>
    <t>Efficacy</t>
  </si>
  <si>
    <t>Gold Standard</t>
  </si>
  <si>
    <t>TDF Investigational Therapy</t>
  </si>
  <si>
    <t>ADAPT</t>
  </si>
  <si>
    <t>RANDQT</t>
  </si>
  <si>
    <t>Randomization Quotient</t>
  </si>
  <si>
    <t>Adaptive Design</t>
  </si>
  <si>
    <t>https://answers.microsoft.com/en-us/msoffice/forum/all/hidden-tabs-in-excel-unable-to-unhide/1f0aec9f-1fe2-4cbb-b7da-873df7264c12</t>
  </si>
  <si>
    <t>Alt+F11 to open VBA Editor - Looks for "Visible" property for each sheet in Proper list. Set to xlSheetVisible</t>
  </si>
  <si>
    <t>Placebo</t>
  </si>
  <si>
    <t>25 mg</t>
  </si>
  <si>
    <t>15 mg</t>
  </si>
  <si>
    <t>TDFINVESTIGATIONALTHERAPY</t>
  </si>
  <si>
    <t>Randomized to TDF Investigational Therapy</t>
  </si>
  <si>
    <t>15MG</t>
  </si>
  <si>
    <t>GOLDSTANDARD</t>
  </si>
  <si>
    <t>Randomized to Gold Standard</t>
  </si>
  <si>
    <t>25MG</t>
  </si>
  <si>
    <t>Randomized to Placebo</t>
  </si>
  <si>
    <t>P10W</t>
  </si>
  <si>
    <t>1 TIME PER WEEK</t>
  </si>
  <si>
    <t>15</t>
  </si>
  <si>
    <t>Orange tabs indicate SDTM elements that python code COULD generate</t>
  </si>
  <si>
    <t>Schedule of Assessment details are not fully available</t>
  </si>
  <si>
    <t>Framework available from TV</t>
  </si>
  <si>
    <t>Missing details of Interventions / Assessments for each visit / subject contact</t>
  </si>
  <si>
    <t>https://github.com/phuse-org/TestDataFactory/blob/master/Minutes/2020-10-09.md</t>
  </si>
  <si>
    <t>Defining Inputs vs. Simulation outputs</t>
  </si>
  <si>
    <t>• TA/TE domains, for example, could be user-provided</t>
  </si>
  <si>
    <t>• Configuration for a particular trial should allow flexibility - User should select which domains to create.</t>
  </si>
  <si>
    <t>( I think that the VB macro in this workbook updates the ARMCD and ETCD lookups, based on user input, to generate the TA/TE domains )</t>
  </si>
  <si>
    <t>Intention:</t>
  </si>
  <si>
    <r>
      <t>• Partner document to ../WorkingDocs/</t>
    </r>
    <r>
      <rPr>
        <b/>
        <sz val="10"/>
        <rFont val="Arial"/>
        <family val="2"/>
      </rPr>
      <t>04_MV-DB Specs_SDTMIG3.3.xlsx</t>
    </r>
  </si>
  <si>
    <r>
      <t xml:space="preserve">◦ define the </t>
    </r>
    <r>
      <rPr>
        <b/>
        <sz val="10"/>
        <rFont val="Arial"/>
        <family val="2"/>
      </rPr>
      <t>study to simulate</t>
    </r>
  </si>
  <si>
    <r>
      <t xml:space="preserve">◦ define </t>
    </r>
    <r>
      <rPr>
        <b/>
        <sz val="10"/>
        <rFont val="Arial"/>
        <family val="2"/>
      </rPr>
      <t>simulation configuration</t>
    </r>
  </si>
  <si>
    <t>• For example</t>
  </si>
  <si>
    <r>
      <t xml:space="preserve">◦ </t>
    </r>
    <r>
      <rPr>
        <b/>
        <sz val="10"/>
        <rFont val="Arial"/>
        <family val="2"/>
      </rPr>
      <t xml:space="preserve">study </t>
    </r>
    <r>
      <rPr>
        <sz val="10"/>
        <rFont val="Arial"/>
        <family val="2"/>
      </rPr>
      <t>details include Investigational therapy, Study ID, Planned Subjects, Study Design, etc.</t>
    </r>
  </si>
  <si>
    <r>
      <t xml:space="preserve">◦ </t>
    </r>
    <r>
      <rPr>
        <b/>
        <sz val="10"/>
        <rFont val="Arial"/>
        <family val="2"/>
      </rPr>
      <t>simulation configuration</t>
    </r>
    <r>
      <rPr>
        <sz val="10"/>
        <rFont val="Arial"/>
      </rPr>
      <t xml:space="preserve"> details include Site IDs, </t>
    </r>
    <r>
      <rPr>
        <sz val="10"/>
        <rFont val="Arial"/>
        <family val="2"/>
      </rPr>
      <t>Duration of Enrollment, Variation in actual visits, etc.</t>
    </r>
  </si>
  <si>
    <r>
      <t xml:space="preserve">◦ </t>
    </r>
    <r>
      <rPr>
        <b/>
        <sz val="10"/>
        <rFont val="Arial"/>
        <family val="2"/>
      </rPr>
      <t>simulation configuration</t>
    </r>
    <r>
      <rPr>
        <sz val="10"/>
        <rFont val="Arial"/>
      </rPr>
      <t xml:space="preserve"> details should be set on the </t>
    </r>
    <r>
      <rPr>
        <b/>
        <sz val="10"/>
        <rFont val="Arial"/>
        <family val="2"/>
      </rPr>
      <t>TDF_Configuration</t>
    </r>
    <r>
      <rPr>
        <sz val="10"/>
        <rFont val="Arial"/>
      </rPr>
      <t xml:space="preserve"> tab</t>
    </r>
  </si>
  <si>
    <t>Green tabs indicate details that TDF interface collects - via TDM workbook, web UI, etc</t>
  </si>
  <si>
    <t>Maroon tabs indicate elements not yet defined, such as the Schedule of Interventions / Assessments</t>
  </si>
  <si>
    <r>
      <t xml:space="preserve">• This workbook mainly documents user inputs, the </t>
    </r>
    <r>
      <rPr>
        <b/>
        <sz val="10"/>
        <color theme="6" tint="-0.249977111117893"/>
        <rFont val="Arial"/>
        <family val="2"/>
      </rPr>
      <t>GREEN tabs,</t>
    </r>
    <r>
      <rPr>
        <sz val="10"/>
        <rFont val="Arial"/>
        <family val="2"/>
      </rPr>
      <t xml:space="preserve"> that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</si>
</sst>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
      <u/>
      <sz val="10"/>
      <color theme="10"/>
      <name val="Arial"/>
      <family val="2"/>
    </font>
    <font>
      <u/>
      <sz val="11"/>
      <color theme="10"/>
      <name val="Calibri"/>
      <family val="2"/>
      <scheme val="minor"/>
    </font>
    <font>
      <b/>
      <sz val="12"/>
      <name val="Arial"/>
      <family val="2"/>
    </font>
    <font>
      <b/>
      <sz val="12"/>
      <color theme="1"/>
      <name val="Calibri"/>
      <family val="2"/>
      <scheme val="minor"/>
    </font>
    <font>
      <b/>
      <sz val="10"/>
      <name val="Arial"/>
      <family val="2"/>
    </font>
    <font>
      <b/>
      <sz val="10"/>
      <color theme="6" tint="-0.249977111117893"/>
      <name val="Arial"/>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
      <patternFill patternType="solid">
        <fgColor rgb="FFC0C0C0"/>
        <bgColor indexed="64"/>
      </patternFill>
    </fill>
    <fill>
      <patternFill patternType="solid">
        <fgColor theme="9" tint="0.79998168889431442"/>
        <bgColor indexed="64"/>
      </patternFill>
    </fill>
    <fill>
      <patternFill patternType="solid">
        <fgColor theme="6"/>
        <bgColor indexed="64"/>
      </patternFill>
    </fill>
    <fill>
      <patternFill patternType="solid">
        <fgColor theme="9"/>
        <bgColor indexed="64"/>
      </patternFill>
    </fill>
    <fill>
      <patternFill patternType="solid">
        <fgColor theme="5"/>
        <bgColor indexed="64"/>
      </patternFill>
    </fill>
    <fill>
      <patternFill patternType="solid">
        <fgColor theme="9" tint="-0.249977111117893"/>
        <bgColor indexed="64"/>
      </patternFill>
    </fill>
  </fills>
  <borders count="2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3">
    <xf numFmtId="0" fontId="0" fillId="0" borderId="0"/>
    <xf numFmtId="0" fontId="3" fillId="0" borderId="0"/>
    <xf numFmtId="0" fontId="13" fillId="0" borderId="0" applyNumberFormat="0" applyFill="0" applyBorder="0" applyAlignment="0" applyProtection="0"/>
  </cellStyleXfs>
  <cellXfs count="79">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0" borderId="1" xfId="0" applyFont="1" applyFill="1" applyBorder="1"/>
    <xf numFmtId="0" fontId="4" fillId="3" borderId="1" xfId="0" applyFont="1" applyFill="1" applyBorder="1"/>
    <xf numFmtId="0" fontId="4" fillId="0" borderId="0" xfId="0" applyFont="1" applyAlignment="1">
      <alignment vertical="top"/>
    </xf>
    <xf numFmtId="0" fontId="4" fillId="0" borderId="0" xfId="0" applyFont="1" applyAlignment="1">
      <alignment vertical="top" wrapText="1"/>
    </xf>
    <xf numFmtId="0" fontId="6" fillId="2" borderId="3"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0" fillId="0" borderId="2" xfId="0"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1" fillId="0" borderId="0" xfId="0" applyFont="1" applyAlignment="1">
      <alignment vertical="top" wrapText="1"/>
    </xf>
    <xf numFmtId="0" fontId="10" fillId="0" borderId="0" xfId="0" applyFont="1" applyAlignment="1">
      <alignment vertical="top" wrapText="1"/>
    </xf>
    <xf numFmtId="0" fontId="4" fillId="3" borderId="1" xfId="0" applyFont="1" applyFill="1" applyBorder="1" applyAlignment="1">
      <alignment vertical="top"/>
    </xf>
    <xf numFmtId="0" fontId="6" fillId="2" borderId="8" xfId="0" applyFont="1" applyFill="1" applyBorder="1" applyAlignment="1">
      <alignment vertical="top"/>
    </xf>
    <xf numFmtId="0" fontId="6" fillId="2" borderId="9" xfId="0" applyFont="1" applyFill="1" applyBorder="1" applyAlignment="1">
      <alignment vertical="top"/>
    </xf>
    <xf numFmtId="0" fontId="1" fillId="2" borderId="10" xfId="0" applyFont="1" applyFill="1" applyBorder="1"/>
    <xf numFmtId="0" fontId="1" fillId="2" borderId="11" xfId="0" applyFont="1" applyFill="1" applyBorder="1"/>
    <xf numFmtId="0" fontId="1" fillId="2" borderId="12" xfId="0" applyFont="1" applyFill="1" applyBorder="1"/>
    <xf numFmtId="0" fontId="6" fillId="2" borderId="13" xfId="0" applyFont="1" applyFill="1" applyBorder="1" applyAlignment="1">
      <alignment vertical="top"/>
    </xf>
    <xf numFmtId="0" fontId="6" fillId="2" borderId="14" xfId="0" applyFont="1" applyFill="1" applyBorder="1" applyAlignment="1">
      <alignment vertical="top"/>
    </xf>
    <xf numFmtId="0" fontId="6" fillId="2" borderId="15" xfId="0" applyFont="1" applyFill="1" applyBorder="1" applyAlignment="1">
      <alignment vertical="top"/>
    </xf>
    <xf numFmtId="0" fontId="6" fillId="2" borderId="16" xfId="0" applyFont="1" applyFill="1" applyBorder="1" applyAlignment="1">
      <alignment vertical="top"/>
    </xf>
    <xf numFmtId="0" fontId="4" fillId="2" borderId="0" xfId="0" applyFont="1" applyFill="1" applyBorder="1" applyAlignment="1" applyProtection="1">
      <alignment vertical="top"/>
      <protection hidden="1"/>
    </xf>
    <xf numFmtId="49" fontId="4" fillId="0" borderId="0" xfId="0" applyNumberFormat="1" applyFont="1" applyFill="1" applyBorder="1" applyAlignment="1" applyProtection="1">
      <alignment vertical="top" wrapText="1"/>
      <protection locked="0"/>
    </xf>
    <xf numFmtId="0" fontId="4" fillId="2" borderId="0" xfId="0" applyFont="1" applyFill="1" applyBorder="1" applyAlignment="1">
      <alignment vertical="top"/>
    </xf>
    <xf numFmtId="0" fontId="4" fillId="4" borderId="0" xfId="0" applyFont="1" applyFill="1" applyBorder="1" applyAlignment="1" applyProtection="1">
      <alignment vertical="top"/>
      <protection hidden="1"/>
    </xf>
    <xf numFmtId="49" fontId="4" fillId="4" borderId="0" xfId="0" applyNumberFormat="1" applyFont="1" applyFill="1" applyBorder="1" applyAlignment="1" applyProtection="1">
      <alignment vertical="top" wrapText="1"/>
      <protection locked="0"/>
    </xf>
    <xf numFmtId="0" fontId="1" fillId="2" borderId="3" xfId="0" applyFont="1" applyFill="1" applyBorder="1" applyAlignment="1">
      <alignment vertical="top"/>
    </xf>
    <xf numFmtId="0" fontId="1" fillId="2" borderId="5" xfId="0" applyFont="1" applyFill="1" applyBorder="1" applyAlignment="1">
      <alignment vertical="top"/>
    </xf>
    <xf numFmtId="0" fontId="1" fillId="2" borderId="6" xfId="0" applyFont="1" applyFill="1" applyBorder="1" applyAlignment="1">
      <alignment vertical="top"/>
    </xf>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vertical="top"/>
      <protection locked="0"/>
    </xf>
    <xf numFmtId="0" fontId="4" fillId="0" borderId="0" xfId="0" applyFont="1" applyFill="1" applyBorder="1" applyAlignment="1">
      <alignment vertical="top"/>
    </xf>
    <xf numFmtId="0" fontId="6" fillId="2" borderId="17" xfId="0" applyFont="1" applyFill="1" applyBorder="1" applyAlignment="1">
      <alignment vertical="top"/>
    </xf>
    <xf numFmtId="0" fontId="1" fillId="4" borderId="0" xfId="0" applyFont="1" applyFill="1" applyBorder="1"/>
    <xf numFmtId="0" fontId="4" fillId="0" borderId="0" xfId="0" applyFont="1" applyFill="1" applyBorder="1" applyAlignment="1" applyProtection="1">
      <alignment vertical="top"/>
      <protection hidden="1"/>
    </xf>
    <xf numFmtId="0" fontId="1" fillId="2" borderId="10"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2" fillId="5" borderId="0" xfId="0" applyFont="1" applyFill="1" applyProtection="1">
      <protection locked="0"/>
    </xf>
    <xf numFmtId="0" fontId="1" fillId="5" borderId="0" xfId="0" applyFont="1" applyFill="1" applyProtection="1">
      <protection locked="0"/>
    </xf>
    <xf numFmtId="0" fontId="0" fillId="5" borderId="0" xfId="0" applyFill="1"/>
    <xf numFmtId="0" fontId="4" fillId="2" borderId="7" xfId="0" applyFont="1" applyFill="1" applyBorder="1" applyAlignment="1">
      <alignment vertical="top"/>
    </xf>
    <xf numFmtId="0" fontId="4" fillId="0" borderId="0" xfId="0" applyFont="1" applyFill="1" applyBorder="1" applyAlignment="1" applyProtection="1">
      <alignment vertical="top" wrapText="1"/>
      <protection hidden="1"/>
    </xf>
    <xf numFmtId="0" fontId="12" fillId="2" borderId="3" xfId="0" applyFont="1" applyFill="1" applyBorder="1" applyAlignment="1">
      <alignment vertical="top"/>
    </xf>
    <xf numFmtId="0" fontId="0" fillId="2" borderId="18" xfId="0" applyFill="1" applyBorder="1" applyAlignment="1">
      <alignment horizontal="center" vertical="top"/>
    </xf>
    <xf numFmtId="0" fontId="0" fillId="2" borderId="17" xfId="0" applyFill="1" applyBorder="1" applyAlignment="1">
      <alignment vertical="top"/>
    </xf>
    <xf numFmtId="0" fontId="0" fillId="0" borderId="0" xfId="0" applyFill="1" applyBorder="1" applyAlignment="1">
      <alignment vertical="top"/>
    </xf>
    <xf numFmtId="0" fontId="6" fillId="2" borderId="4" xfId="0" applyFont="1" applyFill="1" applyBorder="1" applyAlignment="1">
      <alignment vertical="top"/>
    </xf>
    <xf numFmtId="0" fontId="6" fillId="2" borderId="19" xfId="0" applyFont="1" applyFill="1" applyBorder="1" applyAlignment="1">
      <alignment vertical="top"/>
    </xf>
    <xf numFmtId="0" fontId="4" fillId="5" borderId="0" xfId="0" applyFont="1" applyFill="1" applyBorder="1" applyAlignment="1" applyProtection="1">
      <alignment vertical="top"/>
      <protection hidden="1"/>
    </xf>
    <xf numFmtId="0" fontId="4" fillId="3" borderId="1" xfId="0" applyFont="1" applyFill="1" applyBorder="1" applyAlignment="1" applyProtection="1">
      <alignment vertical="top" wrapText="1"/>
      <protection locked="0"/>
    </xf>
    <xf numFmtId="0" fontId="4" fillId="3" borderId="1" xfId="0" applyFont="1" applyFill="1" applyBorder="1" applyAlignment="1" applyProtection="1">
      <alignment vertical="top"/>
      <protection locked="0"/>
    </xf>
    <xf numFmtId="0" fontId="4" fillId="3" borderId="1" xfId="0" applyNumberFormat="1" applyFont="1" applyFill="1" applyBorder="1" applyAlignment="1" applyProtection="1">
      <alignment vertical="top"/>
      <protection locked="0"/>
    </xf>
    <xf numFmtId="0" fontId="1" fillId="3" borderId="1" xfId="0" applyFont="1" applyFill="1" applyBorder="1" applyAlignment="1" applyProtection="1">
      <alignment vertical="top"/>
      <protection locked="0"/>
    </xf>
    <xf numFmtId="0" fontId="11" fillId="0" borderId="0" xfId="0" applyFont="1" applyAlignment="1">
      <alignment horizontal="left" vertical="top" wrapText="1" indent="2"/>
    </xf>
    <xf numFmtId="0" fontId="10" fillId="6" borderId="0" xfId="0" applyFont="1" applyFill="1" applyAlignment="1">
      <alignment vertical="top" wrapText="1"/>
    </xf>
    <xf numFmtId="0" fontId="14" fillId="6" borderId="0" xfId="2" applyFont="1" applyFill="1" applyAlignment="1">
      <alignment vertical="top" wrapText="1"/>
    </xf>
    <xf numFmtId="0" fontId="4" fillId="0" borderId="0" xfId="0" applyNumberFormat="1" applyFont="1" applyFill="1" applyBorder="1" applyAlignment="1" applyProtection="1">
      <alignment vertical="top" wrapText="1"/>
      <protection locked="0"/>
    </xf>
    <xf numFmtId="0" fontId="12" fillId="5" borderId="0" xfId="0" applyFont="1" applyFill="1" applyAlignment="1">
      <alignment wrapText="1"/>
    </xf>
    <xf numFmtId="0" fontId="12" fillId="0" borderId="0" xfId="0" applyFont="1" applyFill="1" applyBorder="1" applyAlignment="1">
      <alignment vertical="top"/>
    </xf>
    <xf numFmtId="0" fontId="0" fillId="7" borderId="0" xfId="0" applyFill="1"/>
    <xf numFmtId="0" fontId="0" fillId="8" borderId="0" xfId="0" applyFill="1"/>
    <xf numFmtId="0" fontId="12" fillId="0" borderId="0" xfId="0" applyFont="1" applyAlignment="1">
      <alignment horizontal="left" indent="1"/>
    </xf>
    <xf numFmtId="0" fontId="12" fillId="0" borderId="0" xfId="0" applyFont="1"/>
    <xf numFmtId="0" fontId="13" fillId="0" borderId="0" xfId="2"/>
    <xf numFmtId="0" fontId="0" fillId="9" borderId="0" xfId="0" applyFill="1"/>
    <xf numFmtId="0" fontId="15" fillId="0" borderId="0" xfId="0" applyFont="1"/>
    <xf numFmtId="0" fontId="0" fillId="10" borderId="0" xfId="0" applyFill="1"/>
    <xf numFmtId="0" fontId="16" fillId="6" borderId="0" xfId="0" applyFont="1" applyFill="1"/>
    <xf numFmtId="0" fontId="0" fillId="6" borderId="0" xfId="0" applyFill="1"/>
    <xf numFmtId="0" fontId="12" fillId="0" borderId="0" xfId="0" applyFont="1" applyAlignment="1">
      <alignment horizontal="left" indent="2"/>
    </xf>
  </cellXfs>
  <cellStyles count="3">
    <cellStyle name="Hyperlink" xfId="2" builtinId="8"/>
    <cellStyle name="Normal" xfId="0" builtinId="0"/>
    <cellStyle name="Standard_Tabelle1" xfId="1" xr:uid="{00000000-0005-0000-0000-000001000000}"/>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1381125</xdr:colOff>
          <xdr:row>1</xdr:row>
          <xdr:rowOff>0</xdr:rowOff>
        </xdr:from>
        <xdr:to>
          <xdr:col>5</xdr:col>
          <xdr:colOff>1543050</xdr:colOff>
          <xdr:row>2</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1219200</xdr:colOff>
          <xdr:row>1</xdr:row>
          <xdr:rowOff>0</xdr:rowOff>
        </xdr:from>
        <xdr:to>
          <xdr:col>5</xdr:col>
          <xdr:colOff>1381125</xdr:colOff>
          <xdr:row>2</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1</xdr:row>
          <xdr:rowOff>0</xdr:rowOff>
        </xdr:from>
        <xdr:to>
          <xdr:col>9</xdr:col>
          <xdr:colOff>333375</xdr:colOff>
          <xdr:row>2</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4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6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514350</xdr:colOff>
          <xdr:row>1</xdr:row>
          <xdr:rowOff>0</xdr:rowOff>
        </xdr:from>
        <xdr:to>
          <xdr:col>12</xdr:col>
          <xdr:colOff>66675</xdr:colOff>
          <xdr:row>2</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9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xdr:row>
          <xdr:rowOff>0</xdr:rowOff>
        </xdr:from>
        <xdr:to>
          <xdr:col>8</xdr:col>
          <xdr:colOff>247650</xdr:colOff>
          <xdr:row>2</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A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answers.microsoft.com/en-us/msoffice/forum/all/hidden-tabs-in-excel-unable-to-unhide/1f0aec9f-1fe2-4cbb-b7da-873df7264c12"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hyperlink" Target="https://github.com/phuse-org/TestDataFactory/blob/master/Minutes/2020-10-09.md"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2.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2.emf"/><Relationship Id="rId4" Type="http://schemas.openxmlformats.org/officeDocument/2006/relationships/control" Target="../activeX/activeX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2.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6"/>
  <sheetViews>
    <sheetView workbookViewId="0"/>
  </sheetViews>
  <sheetFormatPr defaultRowHeight="12.75" x14ac:dyDescent="0.2"/>
  <cols>
    <col min="1" max="1" width="102.28515625" style="16" customWidth="1"/>
    <col min="2" max="16384" width="9.140625" style="15"/>
  </cols>
  <sheetData>
    <row r="1" spans="1:1" s="14" customFormat="1" ht="37.5" x14ac:dyDescent="0.35">
      <c r="A1" s="13" t="s">
        <v>277</v>
      </c>
    </row>
    <row r="2" spans="1:1" s="14" customFormat="1" ht="23.25" x14ac:dyDescent="0.35">
      <c r="A2" s="18"/>
    </row>
    <row r="3" spans="1:1" s="14" customFormat="1" ht="23.25" x14ac:dyDescent="0.35">
      <c r="A3" s="63" t="s">
        <v>362</v>
      </c>
    </row>
    <row r="4" spans="1:1" s="14" customFormat="1" ht="30" x14ac:dyDescent="0.35">
      <c r="A4" s="64" t="s">
        <v>361</v>
      </c>
    </row>
    <row r="5" spans="1:1" s="14" customFormat="1" ht="23.25" x14ac:dyDescent="0.35">
      <c r="A5" s="18"/>
    </row>
    <row r="6" spans="1:1" ht="45" x14ac:dyDescent="0.2">
      <c r="A6" s="17" t="s">
        <v>281</v>
      </c>
    </row>
    <row r="7" spans="1:1" ht="15" x14ac:dyDescent="0.2">
      <c r="A7" s="17"/>
    </row>
    <row r="8" spans="1:1" ht="15" x14ac:dyDescent="0.2">
      <c r="A8" s="18" t="s">
        <v>264</v>
      </c>
    </row>
    <row r="9" spans="1:1" ht="45" x14ac:dyDescent="0.2">
      <c r="A9" s="17" t="s">
        <v>320</v>
      </c>
    </row>
    <row r="10" spans="1:1" ht="15" x14ac:dyDescent="0.2">
      <c r="A10" s="17"/>
    </row>
    <row r="11" spans="1:1" ht="15" x14ac:dyDescent="0.2">
      <c r="A11" s="18" t="s">
        <v>347</v>
      </c>
    </row>
    <row r="12" spans="1:1" ht="75" x14ac:dyDescent="0.2">
      <c r="A12" s="17" t="s">
        <v>321</v>
      </c>
    </row>
    <row r="13" spans="1:1" ht="15" x14ac:dyDescent="0.2">
      <c r="A13" s="17" t="s">
        <v>265</v>
      </c>
    </row>
    <row r="14" spans="1:1" ht="60" x14ac:dyDescent="0.2">
      <c r="A14" s="62" t="s">
        <v>266</v>
      </c>
    </row>
    <row r="15" spans="1:1" ht="45" x14ac:dyDescent="0.2">
      <c r="A15" s="62" t="s">
        <v>331</v>
      </c>
    </row>
    <row r="16" spans="1:1" ht="15" x14ac:dyDescent="0.2">
      <c r="A16" s="17"/>
    </row>
    <row r="17" spans="1:1" ht="15" x14ac:dyDescent="0.2">
      <c r="A17" s="18" t="s">
        <v>348</v>
      </c>
    </row>
    <row r="18" spans="1:1" ht="60" x14ac:dyDescent="0.2">
      <c r="A18" s="62" t="s">
        <v>268</v>
      </c>
    </row>
    <row r="19" spans="1:1" ht="75" x14ac:dyDescent="0.2">
      <c r="A19" s="62" t="s">
        <v>269</v>
      </c>
    </row>
    <row r="20" spans="1:1" ht="45" x14ac:dyDescent="0.2">
      <c r="A20" s="62" t="s">
        <v>322</v>
      </c>
    </row>
    <row r="21" spans="1:1" ht="15" x14ac:dyDescent="0.2">
      <c r="A21" s="17"/>
    </row>
    <row r="22" spans="1:1" ht="15" x14ac:dyDescent="0.2">
      <c r="A22" s="18" t="s">
        <v>267</v>
      </c>
    </row>
    <row r="23" spans="1:1" ht="45" x14ac:dyDescent="0.2">
      <c r="A23" s="17" t="s">
        <v>323</v>
      </c>
    </row>
    <row r="24" spans="1:1" ht="30" x14ac:dyDescent="0.2">
      <c r="A24" s="62" t="s">
        <v>324</v>
      </c>
    </row>
    <row r="25" spans="1:1" ht="45" x14ac:dyDescent="0.2">
      <c r="A25" s="62" t="s">
        <v>278</v>
      </c>
    </row>
    <row r="26" spans="1:1" ht="30" x14ac:dyDescent="0.2">
      <c r="A26" s="62" t="s">
        <v>325</v>
      </c>
    </row>
    <row r="27" spans="1:1" ht="15" x14ac:dyDescent="0.2">
      <c r="A27" s="17"/>
    </row>
    <row r="28" spans="1:1" ht="15" x14ac:dyDescent="0.2">
      <c r="A28" s="18" t="s">
        <v>349</v>
      </c>
    </row>
    <row r="29" spans="1:1" ht="45" x14ac:dyDescent="0.2">
      <c r="A29" s="62" t="s">
        <v>270</v>
      </c>
    </row>
    <row r="30" spans="1:1" ht="15" x14ac:dyDescent="0.2">
      <c r="A30" s="62" t="s">
        <v>271</v>
      </c>
    </row>
    <row r="31" spans="1:1" ht="30" x14ac:dyDescent="0.2">
      <c r="A31" s="62" t="s">
        <v>272</v>
      </c>
    </row>
    <row r="32" spans="1:1" ht="45" x14ac:dyDescent="0.2">
      <c r="A32" s="62" t="s">
        <v>326</v>
      </c>
    </row>
    <row r="33" spans="1:1" ht="15" x14ac:dyDescent="0.2">
      <c r="A33" s="62" t="s">
        <v>273</v>
      </c>
    </row>
    <row r="34" spans="1:1" ht="45" x14ac:dyDescent="0.2">
      <c r="A34" s="62" t="s">
        <v>274</v>
      </c>
    </row>
    <row r="35" spans="1:1" ht="15" x14ac:dyDescent="0.2">
      <c r="A35" s="62" t="s">
        <v>275</v>
      </c>
    </row>
    <row r="36" spans="1:1" ht="30" x14ac:dyDescent="0.2">
      <c r="A36" s="62" t="s">
        <v>327</v>
      </c>
    </row>
    <row r="37" spans="1:1" ht="45" x14ac:dyDescent="0.2">
      <c r="A37" s="62" t="s">
        <v>328</v>
      </c>
    </row>
    <row r="38" spans="1:1" ht="45" x14ac:dyDescent="0.2">
      <c r="A38" s="62" t="s">
        <v>329</v>
      </c>
    </row>
    <row r="39" spans="1:1" ht="15" x14ac:dyDescent="0.2">
      <c r="A39" s="62"/>
    </row>
    <row r="40" spans="1:1" ht="15" x14ac:dyDescent="0.2">
      <c r="A40" s="18" t="s">
        <v>350</v>
      </c>
    </row>
    <row r="41" spans="1:1" ht="45" x14ac:dyDescent="0.2">
      <c r="A41" s="62" t="s">
        <v>280</v>
      </c>
    </row>
    <row r="42" spans="1:1" ht="15" x14ac:dyDescent="0.2">
      <c r="A42" s="62" t="s">
        <v>276</v>
      </c>
    </row>
    <row r="43" spans="1:1" ht="60" x14ac:dyDescent="0.2">
      <c r="A43" s="62" t="s">
        <v>330</v>
      </c>
    </row>
    <row r="44" spans="1:1" ht="15" x14ac:dyDescent="0.2">
      <c r="A44" s="17"/>
    </row>
    <row r="45" spans="1:1" ht="15" x14ac:dyDescent="0.2">
      <c r="A45" s="18" t="s">
        <v>351</v>
      </c>
    </row>
    <row r="46" spans="1:1" ht="75" x14ac:dyDescent="0.2">
      <c r="A46" s="62" t="s">
        <v>279</v>
      </c>
    </row>
  </sheetData>
  <phoneticPr fontId="1" type="noConversion"/>
  <hyperlinks>
    <hyperlink ref="A4" r:id="rId1" xr:uid="{12D60C82-2615-4234-8E18-CC056E198DCD}"/>
  </hyperlinks>
  <pageMargins left="0.75" right="0.75" top="1" bottom="1" header="0.5" footer="0.5"/>
  <pageSetup orientation="portrait" r:id="rId2"/>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C2306-9B33-4E60-9BC9-5C00C7CDE310}">
  <sheetPr codeName="Sheet11">
    <tabColor theme="7"/>
  </sheetPr>
  <dimension ref="A1:H19"/>
  <sheetViews>
    <sheetView tabSelected="1" workbookViewId="0"/>
  </sheetViews>
  <sheetFormatPr defaultRowHeight="12.75" x14ac:dyDescent="0.2"/>
  <sheetData>
    <row r="1" spans="1:8" ht="15.75" x14ac:dyDescent="0.25">
      <c r="A1" s="74" t="s">
        <v>381</v>
      </c>
    </row>
    <row r="2" spans="1:8" x14ac:dyDescent="0.2">
      <c r="A2" s="68"/>
      <c r="B2" s="71" t="s">
        <v>393</v>
      </c>
    </row>
    <row r="3" spans="1:8" x14ac:dyDescent="0.2">
      <c r="A3" s="73"/>
      <c r="B3" s="71" t="s">
        <v>394</v>
      </c>
    </row>
    <row r="4" spans="1:8" x14ac:dyDescent="0.2">
      <c r="A4" s="69"/>
      <c r="B4" t="s">
        <v>376</v>
      </c>
    </row>
    <row r="5" spans="1:8" x14ac:dyDescent="0.2">
      <c r="A5" s="69"/>
      <c r="B5" s="70" t="s">
        <v>383</v>
      </c>
    </row>
    <row r="6" spans="1:8" x14ac:dyDescent="0.2">
      <c r="A6" s="69"/>
      <c r="B6" s="70" t="s">
        <v>382</v>
      </c>
    </row>
    <row r="8" spans="1:8" x14ac:dyDescent="0.2">
      <c r="A8" s="75"/>
      <c r="B8" s="71" t="s">
        <v>384</v>
      </c>
    </row>
    <row r="11" spans="1:8" ht="15.75" x14ac:dyDescent="0.25">
      <c r="A11" s="76" t="s">
        <v>385</v>
      </c>
      <c r="B11" s="77"/>
      <c r="C11" s="77"/>
      <c r="D11" s="77"/>
      <c r="E11" s="77"/>
      <c r="F11" s="77"/>
      <c r="G11" s="77"/>
      <c r="H11" s="77"/>
    </row>
    <row r="12" spans="1:8" x14ac:dyDescent="0.2">
      <c r="A12" s="70" t="s">
        <v>386</v>
      </c>
    </row>
    <row r="13" spans="1:8" x14ac:dyDescent="0.2">
      <c r="A13" s="70" t="s">
        <v>395</v>
      </c>
    </row>
    <row r="14" spans="1:8" x14ac:dyDescent="0.2">
      <c r="A14" s="78" t="s">
        <v>387</v>
      </c>
    </row>
    <row r="15" spans="1:8" x14ac:dyDescent="0.2">
      <c r="A15" s="78" t="s">
        <v>388</v>
      </c>
    </row>
    <row r="16" spans="1:8" x14ac:dyDescent="0.2">
      <c r="A16" s="70" t="s">
        <v>389</v>
      </c>
    </row>
    <row r="17" spans="1:1" x14ac:dyDescent="0.2">
      <c r="A17" s="78" t="s">
        <v>390</v>
      </c>
    </row>
    <row r="18" spans="1:1" x14ac:dyDescent="0.2">
      <c r="A18" s="78" t="s">
        <v>391</v>
      </c>
    </row>
    <row r="19" spans="1:1" x14ac:dyDescent="0.2">
      <c r="A19" s="78" t="s">
        <v>392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pageSetUpPr fitToPage="1"/>
  </sheetPr>
  <dimension ref="A1:I39"/>
  <sheetViews>
    <sheetView showGridLines="0" showRowColHeaders="0" showZeros="0" showOutlineSymbols="0" workbookViewId="0"/>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282</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sheetData>
  <sheetProtection selectLockedCells="1"/>
  <phoneticPr fontId="1" type="noConversion"/>
  <pageMargins left="0.75" right="0.75" top="1" bottom="1" header="0.5" footer="0.5"/>
  <pageSetup paperSize="9"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pageSetUpPr fitToPage="1"/>
  </sheetPr>
  <dimension ref="A1:G30"/>
  <sheetViews>
    <sheetView showZeros="0" workbookViewId="0">
      <pane ySplit="1" topLeftCell="A2" activePane="bottomLeft" state="frozen"/>
      <selection activeCell="H33" sqref="H33"/>
      <selection pane="bottomLeft" activeCell="A2" sqref="A2"/>
    </sheetView>
  </sheetViews>
  <sheetFormatPr defaultRowHeight="11.25" x14ac:dyDescent="0.2"/>
  <cols>
    <col min="1" max="5" width="12.7109375" style="2" customWidth="1"/>
    <col min="6" max="6" width="25.7109375" style="2" customWidth="1"/>
    <col min="7" max="7" width="24.42578125" style="2" bestFit="1" customWidth="1"/>
    <col min="8" max="16384" width="9.140625" style="47"/>
  </cols>
  <sheetData>
    <row r="1" spans="1:7" s="46" customFormat="1" x14ac:dyDescent="0.2">
      <c r="A1" s="9" t="s">
        <v>0</v>
      </c>
      <c r="B1" s="10" t="s">
        <v>1</v>
      </c>
      <c r="C1" s="10" t="s">
        <v>22</v>
      </c>
      <c r="D1" s="10" t="s">
        <v>262</v>
      </c>
      <c r="E1" s="10" t="s">
        <v>23</v>
      </c>
      <c r="F1" s="10" t="s">
        <v>24</v>
      </c>
      <c r="G1" s="11" t="s">
        <v>25</v>
      </c>
    </row>
    <row r="2" spans="1:7" x14ac:dyDescent="0.2">
      <c r="A2" s="29" t="str">
        <f>IF(ISBLANK(E2),"",Study!$C$2)</f>
        <v>TDF-001</v>
      </c>
      <c r="B2" s="29" t="str">
        <f t="shared" ref="B2" si="0">IF(ISBLANK(E2),"","TS")</f>
        <v>TS</v>
      </c>
      <c r="C2" s="29">
        <v>1</v>
      </c>
      <c r="D2" s="30"/>
      <c r="E2" s="31" t="s">
        <v>44</v>
      </c>
      <c r="F2" s="31" t="s">
        <v>81</v>
      </c>
      <c r="G2" s="30" t="s">
        <v>304</v>
      </c>
    </row>
    <row r="3" spans="1:7" x14ac:dyDescent="0.2">
      <c r="A3" s="29" t="str">
        <f>IF(ISBLANK(E3),"",Study!$C$2)</f>
        <v>TDF-001</v>
      </c>
      <c r="B3" s="29" t="str">
        <f t="shared" ref="B3:B29" si="1">IF(ISBLANK(E3),"","TS")</f>
        <v>TS</v>
      </c>
      <c r="C3" s="29">
        <v>1</v>
      </c>
      <c r="D3" s="30"/>
      <c r="E3" s="31" t="s">
        <v>43</v>
      </c>
      <c r="F3" s="31" t="s">
        <v>202</v>
      </c>
      <c r="G3" s="30" t="s">
        <v>283</v>
      </c>
    </row>
    <row r="4" spans="1:7" x14ac:dyDescent="0.2">
      <c r="A4" s="29" t="str">
        <f>IF(ISBLANK(E4),"",Study!$C$2)</f>
        <v>TDF-001</v>
      </c>
      <c r="B4" s="29" t="str">
        <f t="shared" ref="B4" si="2">IF(ISBLANK(E4),"","TS")</f>
        <v>TS</v>
      </c>
      <c r="C4" s="29">
        <v>1</v>
      </c>
      <c r="D4" s="30"/>
      <c r="E4" s="31" t="s">
        <v>66</v>
      </c>
      <c r="F4" s="31" t="s">
        <v>80</v>
      </c>
      <c r="G4" s="30" t="s">
        <v>238</v>
      </c>
    </row>
    <row r="5" spans="1:7" x14ac:dyDescent="0.2">
      <c r="A5" s="29" t="str">
        <f>IF(ISBLANK(E5),"",Study!$C$2)</f>
        <v>TDF-001</v>
      </c>
      <c r="B5" s="29" t="str">
        <f t="shared" si="1"/>
        <v>TS</v>
      </c>
      <c r="C5" s="29">
        <v>1</v>
      </c>
      <c r="D5" s="30"/>
      <c r="E5" s="31" t="s">
        <v>36</v>
      </c>
      <c r="F5" s="31" t="s">
        <v>73</v>
      </c>
      <c r="G5" s="30" t="s">
        <v>254</v>
      </c>
    </row>
    <row r="6" spans="1:7" x14ac:dyDescent="0.2">
      <c r="A6" s="29" t="str">
        <f>IF(ISBLANK(E6),"",Study!$C$2)</f>
        <v>TDF-001</v>
      </c>
      <c r="B6" s="29" t="str">
        <f t="shared" si="1"/>
        <v>TS</v>
      </c>
      <c r="C6" s="29">
        <v>1</v>
      </c>
      <c r="D6" s="30"/>
      <c r="E6" s="31" t="s">
        <v>63</v>
      </c>
      <c r="F6" s="31" t="s">
        <v>76</v>
      </c>
      <c r="G6" s="30" t="s">
        <v>205</v>
      </c>
    </row>
    <row r="7" spans="1:7" x14ac:dyDescent="0.2">
      <c r="A7" s="29" t="str">
        <f>IF(ISBLANK(E7),"",Study!$C$2)</f>
        <v>TDF-001</v>
      </c>
      <c r="B7" s="29" t="str">
        <f t="shared" si="1"/>
        <v>TS</v>
      </c>
      <c r="C7" s="29">
        <v>1</v>
      </c>
      <c r="D7" s="30"/>
      <c r="E7" s="31" t="s">
        <v>357</v>
      </c>
      <c r="F7" s="31" t="s">
        <v>360</v>
      </c>
      <c r="G7" s="30" t="s">
        <v>252</v>
      </c>
    </row>
    <row r="8" spans="1:7" x14ac:dyDescent="0.2">
      <c r="A8" s="29" t="str">
        <f>IF(ISBLANK(E8),"",Study!$C$2)</f>
        <v>TDF-001</v>
      </c>
      <c r="B8" s="29" t="str">
        <f t="shared" ref="B8" si="3">IF(ISBLANK(E8),"","TS")</f>
        <v>TS</v>
      </c>
      <c r="C8" s="29">
        <v>2</v>
      </c>
      <c r="D8" s="30"/>
      <c r="E8" s="31" t="s">
        <v>358</v>
      </c>
      <c r="F8" s="31" t="s">
        <v>359</v>
      </c>
      <c r="G8" s="65">
        <v>0.5</v>
      </c>
    </row>
    <row r="9" spans="1:7" x14ac:dyDescent="0.2">
      <c r="A9" s="29" t="str">
        <f>IF(ISBLANK(E9),"",Study!$C$2)</f>
        <v>TDF-001</v>
      </c>
      <c r="B9" s="29" t="str">
        <f t="shared" si="1"/>
        <v>TS</v>
      </c>
      <c r="C9" s="29">
        <v>1</v>
      </c>
      <c r="D9" s="30"/>
      <c r="E9" s="31" t="s">
        <v>39</v>
      </c>
      <c r="F9" s="31" t="s">
        <v>200</v>
      </c>
      <c r="G9" s="30" t="s">
        <v>354</v>
      </c>
    </row>
    <row r="10" spans="1:7" x14ac:dyDescent="0.2">
      <c r="A10" s="29" t="str">
        <f>IF(ISBLANK(E10),"",Study!$C$2)</f>
        <v>TDF-001</v>
      </c>
      <c r="B10" s="29" t="str">
        <f t="shared" si="1"/>
        <v>TS</v>
      </c>
      <c r="C10" s="29">
        <v>1</v>
      </c>
      <c r="D10" s="30"/>
      <c r="E10" s="31" t="s">
        <v>40</v>
      </c>
      <c r="F10" s="31" t="s">
        <v>201</v>
      </c>
      <c r="G10" s="30" t="s">
        <v>353</v>
      </c>
    </row>
    <row r="11" spans="1:7" x14ac:dyDescent="0.2">
      <c r="A11" s="29" t="str">
        <f>IF(ISBLANK(E11),"",Study!$C$2)</f>
        <v>TDF-001</v>
      </c>
      <c r="B11" s="29" t="str">
        <f t="shared" si="1"/>
        <v>TS</v>
      </c>
      <c r="C11" s="29">
        <v>1</v>
      </c>
      <c r="D11" s="30"/>
      <c r="E11" s="31" t="s">
        <v>82</v>
      </c>
      <c r="F11" s="31" t="s">
        <v>83</v>
      </c>
      <c r="G11" s="30" t="s">
        <v>246</v>
      </c>
    </row>
    <row r="12" spans="1:7" x14ac:dyDescent="0.2">
      <c r="A12" s="29" t="str">
        <f>IF(ISBLANK(E12),"",Study!$C$2)</f>
        <v>TDF-001</v>
      </c>
      <c r="B12" s="29" t="str">
        <f t="shared" si="1"/>
        <v>TS</v>
      </c>
      <c r="C12" s="29">
        <v>1</v>
      </c>
      <c r="D12" s="30"/>
      <c r="E12" s="31" t="s">
        <v>34</v>
      </c>
      <c r="F12" s="31" t="s">
        <v>199</v>
      </c>
      <c r="G12" s="30" t="s">
        <v>305</v>
      </c>
    </row>
    <row r="13" spans="1:7" x14ac:dyDescent="0.2">
      <c r="A13" s="29" t="str">
        <f>IF(ISBLANK(E13),"",Study!$C$2)</f>
        <v>TDF-001</v>
      </c>
      <c r="B13" s="29" t="str">
        <f t="shared" si="1"/>
        <v>TS</v>
      </c>
      <c r="C13" s="29">
        <v>1</v>
      </c>
      <c r="D13" s="30"/>
      <c r="E13" s="31" t="s">
        <v>78</v>
      </c>
      <c r="F13" s="31" t="s">
        <v>79</v>
      </c>
      <c r="G13" s="30" t="s">
        <v>53</v>
      </c>
    </row>
    <row r="14" spans="1:7" x14ac:dyDescent="0.2">
      <c r="A14" s="29" t="str">
        <f>IF(ISBLANK(E14),"",Study!$C$2)</f>
        <v>TDF-001</v>
      </c>
      <c r="B14" s="29" t="str">
        <f t="shared" si="1"/>
        <v>TS</v>
      </c>
      <c r="C14" s="29">
        <v>1</v>
      </c>
      <c r="D14" s="30"/>
      <c r="E14" s="31" t="s">
        <v>65</v>
      </c>
      <c r="F14" s="31" t="s">
        <v>77</v>
      </c>
      <c r="G14" s="30" t="s">
        <v>305</v>
      </c>
    </row>
    <row r="15" spans="1:7" x14ac:dyDescent="0.2">
      <c r="A15" s="29" t="str">
        <f>IF(ISBLANK(E15),"",Study!$C$2)</f>
        <v>TDF-001</v>
      </c>
      <c r="B15" s="29" t="str">
        <f t="shared" si="1"/>
        <v>TS</v>
      </c>
      <c r="C15" s="29">
        <v>1</v>
      </c>
      <c r="D15" s="30"/>
      <c r="E15" s="31" t="s">
        <v>29</v>
      </c>
      <c r="F15" s="31" t="s">
        <v>69</v>
      </c>
      <c r="G15" s="30" t="s">
        <v>284</v>
      </c>
    </row>
    <row r="16" spans="1:7" x14ac:dyDescent="0.2">
      <c r="A16" s="29" t="str">
        <f>IF(ISBLANK(E16),"",Study!$C$2)</f>
        <v>TDF-001</v>
      </c>
      <c r="B16" s="29" t="str">
        <f t="shared" si="1"/>
        <v>TS</v>
      </c>
      <c r="C16" s="29">
        <v>1</v>
      </c>
      <c r="D16" s="30"/>
      <c r="E16" s="31" t="s">
        <v>28</v>
      </c>
      <c r="F16" s="31" t="s">
        <v>68</v>
      </c>
      <c r="G16" s="30" t="s">
        <v>285</v>
      </c>
    </row>
    <row r="17" spans="1:7" x14ac:dyDescent="0.2">
      <c r="A17" s="29" t="str">
        <f>IF(ISBLANK(E17),"",Study!$C$2)</f>
        <v>TDF-001</v>
      </c>
      <c r="B17" s="29" t="str">
        <f t="shared" si="1"/>
        <v>TS</v>
      </c>
      <c r="C17" s="29">
        <v>1</v>
      </c>
      <c r="D17" s="30"/>
      <c r="E17" s="31" t="s">
        <v>42</v>
      </c>
      <c r="F17" s="31" t="s">
        <v>75</v>
      </c>
      <c r="G17" s="30" t="s">
        <v>208</v>
      </c>
    </row>
    <row r="18" spans="1:7" x14ac:dyDescent="0.2">
      <c r="A18" s="29" t="str">
        <f>IF(ISBLANK(E18),"",Study!$C$2)</f>
        <v>TDF-001</v>
      </c>
      <c r="B18" s="29" t="str">
        <f t="shared" si="1"/>
        <v>TS</v>
      </c>
      <c r="C18" s="29">
        <v>1</v>
      </c>
      <c r="D18" s="30"/>
      <c r="E18" s="31" t="s">
        <v>26</v>
      </c>
      <c r="F18" s="31" t="s">
        <v>67</v>
      </c>
      <c r="G18" s="30" t="s">
        <v>252</v>
      </c>
    </row>
    <row r="19" spans="1:7" x14ac:dyDescent="0.2">
      <c r="A19" s="29" t="str">
        <f>IF(ISBLANK(E19),"",Study!$C$2)</f>
        <v>TDF-001</v>
      </c>
      <c r="B19" s="29" t="str">
        <f t="shared" si="1"/>
        <v>TS</v>
      </c>
      <c r="C19" s="29">
        <v>1</v>
      </c>
      <c r="D19" s="30"/>
      <c r="E19" s="31" t="s">
        <v>45</v>
      </c>
      <c r="F19" s="31" t="s">
        <v>203</v>
      </c>
      <c r="G19" s="30" t="s">
        <v>356</v>
      </c>
    </row>
    <row r="20" spans="1:7" x14ac:dyDescent="0.2">
      <c r="A20" s="29" t="str">
        <f>IF(ISBLANK(E20),"",Study!$C$2)</f>
        <v>TDF-001</v>
      </c>
      <c r="B20" s="29" t="str">
        <f t="shared" si="1"/>
        <v>TS</v>
      </c>
      <c r="C20" s="29">
        <v>1</v>
      </c>
      <c r="D20" s="30"/>
      <c r="E20" s="31" t="s">
        <v>30</v>
      </c>
      <c r="F20" s="31" t="s">
        <v>196</v>
      </c>
      <c r="G20" s="30" t="s">
        <v>355</v>
      </c>
    </row>
    <row r="21" spans="1:7" x14ac:dyDescent="0.2">
      <c r="A21" s="29" t="str">
        <f>IF(ISBLANK(E21),"",Study!$C$2)</f>
        <v>TDF-001</v>
      </c>
      <c r="B21" s="29" t="str">
        <f t="shared" si="1"/>
        <v>TS</v>
      </c>
      <c r="C21" s="29">
        <v>1</v>
      </c>
      <c r="D21" s="30"/>
      <c r="E21" s="31" t="s">
        <v>31</v>
      </c>
      <c r="F21" s="31" t="s">
        <v>70</v>
      </c>
      <c r="G21" s="30" t="s">
        <v>375</v>
      </c>
    </row>
    <row r="22" spans="1:7" x14ac:dyDescent="0.2">
      <c r="A22" s="29" t="str">
        <f>IF(ISBLANK(E22),"",Study!$C$2)</f>
        <v>TDF-001</v>
      </c>
      <c r="B22" s="29" t="str">
        <f t="shared" si="1"/>
        <v>TS</v>
      </c>
      <c r="C22" s="29">
        <v>1</v>
      </c>
      <c r="D22" s="30"/>
      <c r="E22" s="31" t="s">
        <v>33</v>
      </c>
      <c r="F22" s="31" t="s">
        <v>198</v>
      </c>
      <c r="G22" s="30" t="s">
        <v>306</v>
      </c>
    </row>
    <row r="23" spans="1:7" x14ac:dyDescent="0.2">
      <c r="A23" s="29" t="str">
        <f>IF(ISBLANK(E23),"",Study!$C$2)</f>
        <v>TDF-001</v>
      </c>
      <c r="B23" s="29" t="str">
        <f t="shared" si="1"/>
        <v>TS</v>
      </c>
      <c r="C23" s="29">
        <v>1</v>
      </c>
      <c r="D23" s="30"/>
      <c r="E23" s="31" t="s">
        <v>32</v>
      </c>
      <c r="F23" s="31" t="s">
        <v>197</v>
      </c>
      <c r="G23" s="30" t="s">
        <v>374</v>
      </c>
    </row>
    <row r="24" spans="1:7" x14ac:dyDescent="0.2">
      <c r="A24" s="29" t="str">
        <f>IF(ISBLANK(E24),"",Study!$C$2)</f>
        <v>TDF-001</v>
      </c>
      <c r="B24" s="29" t="str">
        <f t="shared" si="1"/>
        <v>TS</v>
      </c>
      <c r="C24" s="29">
        <v>1</v>
      </c>
      <c r="D24" s="30"/>
      <c r="E24" s="31" t="s">
        <v>38</v>
      </c>
      <c r="F24" s="31" t="s">
        <v>74</v>
      </c>
      <c r="G24" s="30" t="s">
        <v>153</v>
      </c>
    </row>
    <row r="25" spans="1:7" x14ac:dyDescent="0.2">
      <c r="A25" s="32" t="str">
        <f>IF(ISBLANK(E25),"",Study!$C$2)</f>
        <v>TDF-001</v>
      </c>
      <c r="B25" s="32" t="str">
        <f t="shared" si="1"/>
        <v>TS</v>
      </c>
      <c r="C25" s="32">
        <v>1</v>
      </c>
      <c r="D25" s="33"/>
      <c r="E25" s="31" t="s">
        <v>35</v>
      </c>
      <c r="F25" s="31" t="s">
        <v>71</v>
      </c>
      <c r="G25" s="33" t="s">
        <v>373</v>
      </c>
    </row>
    <row r="26" spans="1:7" x14ac:dyDescent="0.2">
      <c r="A26" s="32" t="str">
        <f>IF(ISBLANK(E26),"",Study!$C$2)</f>
        <v>TDF-001</v>
      </c>
      <c r="B26" s="32" t="str">
        <f t="shared" si="1"/>
        <v>TS</v>
      </c>
      <c r="C26" s="32">
        <v>1</v>
      </c>
      <c r="D26" s="33"/>
      <c r="E26" s="31" t="s">
        <v>41</v>
      </c>
      <c r="F26" s="31" t="s">
        <v>72</v>
      </c>
      <c r="G26" s="33" t="s">
        <v>286</v>
      </c>
    </row>
    <row r="27" spans="1:7" x14ac:dyDescent="0.2">
      <c r="A27" s="32" t="str">
        <f>IF(ISBLANK(E27),"",Study!$C$2)</f>
        <v>TDF-001</v>
      </c>
      <c r="B27" s="32" t="str">
        <f t="shared" si="1"/>
        <v>TS</v>
      </c>
      <c r="C27" s="32">
        <v>1</v>
      </c>
      <c r="D27" s="33"/>
      <c r="E27" s="31" t="s">
        <v>298</v>
      </c>
      <c r="F27" s="31" t="s">
        <v>300</v>
      </c>
      <c r="G27" s="33" t="s">
        <v>302</v>
      </c>
    </row>
    <row r="28" spans="1:7" x14ac:dyDescent="0.2">
      <c r="A28" s="32" t="str">
        <f>IF(ISBLANK(E28),"",Study!$C$2)</f>
        <v>TDF-001</v>
      </c>
      <c r="B28" s="32" t="str">
        <f t="shared" si="1"/>
        <v>TS</v>
      </c>
      <c r="C28" s="32">
        <v>1</v>
      </c>
      <c r="D28" s="33"/>
      <c r="E28" s="31" t="s">
        <v>299</v>
      </c>
      <c r="F28" s="31" t="s">
        <v>301</v>
      </c>
      <c r="G28" s="33" t="s">
        <v>303</v>
      </c>
    </row>
    <row r="29" spans="1:7" x14ac:dyDescent="0.2">
      <c r="A29" s="29" t="str">
        <f>IF(ISBLANK(E29),"",Study!$C$2)</f>
        <v>TDF-001</v>
      </c>
      <c r="B29" s="29" t="str">
        <f t="shared" si="1"/>
        <v>TS</v>
      </c>
      <c r="C29" s="29">
        <v>1</v>
      </c>
      <c r="D29" s="30"/>
      <c r="E29" s="31" t="s">
        <v>61</v>
      </c>
      <c r="F29" s="31" t="s">
        <v>62</v>
      </c>
      <c r="G29" s="30" t="s">
        <v>225</v>
      </c>
    </row>
    <row r="30" spans="1:7" x14ac:dyDescent="0.2">
      <c r="A30" s="34"/>
      <c r="B30" s="35"/>
      <c r="C30" s="35"/>
      <c r="D30" s="35"/>
      <c r="E30" s="35"/>
      <c r="F30" s="35"/>
      <c r="G30" s="36"/>
    </row>
  </sheetData>
  <sheetProtection selectLockedCells="1"/>
  <autoFilter ref="A1:G29" xr:uid="{00000000-0009-0000-0000-000002000000}"/>
  <phoneticPr fontId="1" type="noConversion"/>
  <dataValidations count="10">
    <dataValidation type="list" allowBlank="1" showInputMessage="1" showErrorMessage="1" errorTitle="Invalid Value" error="Only values displayed in the dropdown list are allowed." sqref="G5 G18" xr:uid="{00000000-0002-0000-0200-000000000000}">
      <formula1>NY</formula1>
    </dataValidation>
    <dataValidation type="list" allowBlank="1" showInputMessage="1" showErrorMessage="1" sqref="G11"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3" xr:uid="{00000000-0002-0000-0200-000005000000}">
      <formula1>TINDTP</formula1>
    </dataValidation>
    <dataValidation type="decimal" allowBlank="1" showInputMessage="1" showErrorMessage="1" sqref="G8" xr:uid="{00000000-0002-0000-0200-000006000000}">
      <formula1>0</formula1>
      <formula2>1</formula2>
    </dataValidation>
    <dataValidation type="list" allowBlank="1" showInputMessage="1" showErrorMessage="1" errorTitle="Invalid Value" error="Only values displayed in the dropdown list are allowed." sqref="G17" xr:uid="{00000000-0002-0000-0200-000007000000}">
      <formula1>SEXPOP</formula1>
    </dataValidation>
    <dataValidation type="list" allowBlank="1" showInputMessage="1" sqref="G14" xr:uid="{00000000-0002-0000-0200-000009000000}">
      <formula1>TDIGRP</formula1>
    </dataValidation>
    <dataValidation type="list" allowBlank="1" showInputMessage="1" showErrorMessage="1" sqref="G24" xr:uid="{00000000-0002-0000-0200-00000B000000}">
      <formula1>ROUTE</formula1>
    </dataValidation>
    <dataValidation type="list" allowBlank="1" showInputMessage="1" showErrorMessage="1" sqref="G7" xr:uid="{DE266DB6-8ABE-4755-80ED-279FC489CE27}">
      <formula1>ADAPT</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3" r:id="rId4" name="CommandButton2">
          <controlPr print="0" autoLine="0" r:id="rId5">
            <anchor>
              <from>
                <xdr:col>5</xdr:col>
                <xdr:colOff>1219200</xdr:colOff>
                <xdr:row>1</xdr:row>
                <xdr:rowOff>0</xdr:rowOff>
              </from>
              <to>
                <xdr:col>5</xdr:col>
                <xdr:colOff>1381125</xdr:colOff>
                <xdr:row>2</xdr:row>
                <xdr:rowOff>19050</xdr:rowOff>
              </to>
            </anchor>
          </controlPr>
        </control>
      </mc:Choice>
      <mc:Fallback>
        <control shapeId="1073" r:id="rId4" name="CommandButton2"/>
      </mc:Fallback>
    </mc:AlternateContent>
    <mc:AlternateContent xmlns:mc="http://schemas.openxmlformats.org/markup-compatibility/2006">
      <mc:Choice Requires="x14">
        <control shapeId="1072" r:id="rId6" name="CommandButton1">
          <controlPr print="0" autoLine="0" r:id="rId7">
            <anchor>
              <from>
                <xdr:col>5</xdr:col>
                <xdr:colOff>1381125</xdr:colOff>
                <xdr:row>1</xdr:row>
                <xdr:rowOff>0</xdr:rowOff>
              </from>
              <to>
                <xdr:col>5</xdr:col>
                <xdr:colOff>1543050</xdr:colOff>
                <xdr:row>2</xdr:row>
                <xdr:rowOff>19050</xdr:rowOff>
              </to>
            </anchor>
          </controlPr>
        </control>
      </mc:Choice>
      <mc:Fallback>
        <control shapeId="1072" r:id="rId6"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6"/>
    <pageSetUpPr fitToPage="1"/>
  </sheetPr>
  <dimension ref="A1:I19"/>
  <sheetViews>
    <sheetView showZeros="0" workbookViewId="0">
      <pane ySplit="1" topLeftCell="A2" activePane="bottomLeft" state="frozen"/>
      <selection activeCell="H33" sqref="H33"/>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9" s="1" customFormat="1" x14ac:dyDescent="0.2">
      <c r="A1" s="40" t="s">
        <v>0</v>
      </c>
      <c r="B1" s="55" t="s">
        <v>1</v>
      </c>
      <c r="C1" s="55" t="s">
        <v>7</v>
      </c>
      <c r="D1" s="55" t="s">
        <v>8</v>
      </c>
      <c r="E1" s="55" t="s">
        <v>9</v>
      </c>
      <c r="F1" s="55" t="s">
        <v>4</v>
      </c>
      <c r="G1" s="55" t="s">
        <v>5</v>
      </c>
      <c r="H1" s="55" t="s">
        <v>16</v>
      </c>
      <c r="I1" s="56" t="s">
        <v>17</v>
      </c>
    </row>
    <row r="2" spans="1:9" x14ac:dyDescent="0.2">
      <c r="A2" s="57" t="str">
        <f t="shared" ref="A2:A11" si="0">StudyID</f>
        <v>TDF-001</v>
      </c>
      <c r="B2" s="57" t="s">
        <v>289</v>
      </c>
      <c r="C2" s="38">
        <v>1</v>
      </c>
      <c r="D2" s="38" t="s">
        <v>290</v>
      </c>
      <c r="E2" s="38"/>
      <c r="F2" s="38"/>
      <c r="G2" s="50"/>
      <c r="H2" s="37"/>
      <c r="I2" s="37"/>
    </row>
    <row r="3" spans="1:9" x14ac:dyDescent="0.2">
      <c r="A3" s="57" t="str">
        <f t="shared" si="0"/>
        <v>TDF-001</v>
      </c>
      <c r="B3" s="57" t="s">
        <v>289</v>
      </c>
      <c r="C3" s="38">
        <v>2</v>
      </c>
      <c r="D3" s="38" t="s">
        <v>291</v>
      </c>
      <c r="E3" s="38"/>
      <c r="F3" s="38"/>
      <c r="G3" s="50"/>
      <c r="H3" s="37"/>
      <c r="I3" s="37"/>
    </row>
    <row r="4" spans="1:9" x14ac:dyDescent="0.2">
      <c r="A4" s="57" t="str">
        <f t="shared" si="0"/>
        <v>TDF-001</v>
      </c>
      <c r="B4" s="57" t="s">
        <v>289</v>
      </c>
      <c r="C4" s="38">
        <v>3</v>
      </c>
      <c r="D4" s="38" t="s">
        <v>292</v>
      </c>
      <c r="E4" s="38"/>
      <c r="F4" s="38"/>
      <c r="G4" s="50"/>
      <c r="H4" s="37"/>
      <c r="I4" s="37"/>
    </row>
    <row r="5" spans="1:9" x14ac:dyDescent="0.2">
      <c r="A5" s="57" t="str">
        <f t="shared" si="0"/>
        <v>TDF-001</v>
      </c>
      <c r="B5" s="57" t="s">
        <v>289</v>
      </c>
      <c r="C5" s="38">
        <v>4</v>
      </c>
      <c r="D5" s="59" t="s">
        <v>293</v>
      </c>
      <c r="E5" s="38"/>
      <c r="F5" s="38"/>
      <c r="G5" s="50"/>
      <c r="H5" s="37"/>
      <c r="I5" s="37"/>
    </row>
    <row r="6" spans="1:9" x14ac:dyDescent="0.2">
      <c r="A6" s="57" t="str">
        <f t="shared" si="0"/>
        <v>TDF-001</v>
      </c>
      <c r="B6" s="57" t="s">
        <v>289</v>
      </c>
      <c r="C6" s="38">
        <v>5</v>
      </c>
      <c r="D6" s="59" t="s">
        <v>294</v>
      </c>
      <c r="E6" s="38"/>
      <c r="F6" s="38"/>
      <c r="G6" s="50"/>
      <c r="H6" s="37"/>
      <c r="I6" s="37"/>
    </row>
    <row r="7" spans="1:9" x14ac:dyDescent="0.2">
      <c r="A7" s="57" t="str">
        <f t="shared" si="0"/>
        <v>TDF-001</v>
      </c>
      <c r="B7" s="57" t="s">
        <v>289</v>
      </c>
      <c r="C7" s="59">
        <v>7</v>
      </c>
      <c r="D7" s="59" t="s">
        <v>295</v>
      </c>
      <c r="E7" s="59"/>
      <c r="F7" s="59"/>
      <c r="G7" s="50"/>
      <c r="H7" s="58"/>
      <c r="I7" s="58"/>
    </row>
    <row r="8" spans="1:9" x14ac:dyDescent="0.2">
      <c r="A8" s="57" t="str">
        <f t="shared" si="0"/>
        <v>TDF-001</v>
      </c>
      <c r="B8" s="57" t="s">
        <v>289</v>
      </c>
      <c r="C8" s="38">
        <v>8</v>
      </c>
      <c r="D8" s="59" t="s">
        <v>296</v>
      </c>
      <c r="E8" s="38"/>
      <c r="F8" s="38"/>
      <c r="G8" s="50"/>
      <c r="H8" s="37"/>
      <c r="I8" s="37"/>
    </row>
    <row r="9" spans="1:9" x14ac:dyDescent="0.2">
      <c r="A9" s="57" t="str">
        <f t="shared" si="0"/>
        <v>TDF-001</v>
      </c>
      <c r="B9" s="57" t="s">
        <v>289</v>
      </c>
      <c r="C9" s="38">
        <v>9</v>
      </c>
      <c r="D9" s="59" t="s">
        <v>297</v>
      </c>
      <c r="E9" s="38"/>
      <c r="F9" s="38"/>
      <c r="G9" s="50"/>
      <c r="H9" s="37"/>
      <c r="I9" s="37"/>
    </row>
    <row r="10" spans="1:9" x14ac:dyDescent="0.2">
      <c r="A10" s="57" t="str">
        <f t="shared" si="0"/>
        <v>TDF-001</v>
      </c>
      <c r="B10" s="57" t="s">
        <v>289</v>
      </c>
      <c r="C10" s="38">
        <v>10</v>
      </c>
      <c r="D10" s="59" t="s">
        <v>352</v>
      </c>
      <c r="E10" s="38"/>
      <c r="F10" s="38"/>
      <c r="G10" s="50"/>
      <c r="H10" s="37"/>
      <c r="I10" s="37"/>
    </row>
    <row r="11" spans="1:9" x14ac:dyDescent="0.2">
      <c r="A11" s="57" t="str">
        <f t="shared" si="0"/>
        <v>TDF-001</v>
      </c>
      <c r="B11" s="57" t="s">
        <v>289</v>
      </c>
      <c r="C11" s="38">
        <v>11</v>
      </c>
      <c r="D11" s="38" t="s">
        <v>54</v>
      </c>
      <c r="E11" s="38"/>
      <c r="F11" s="38"/>
      <c r="G11" s="50"/>
      <c r="H11" s="37"/>
      <c r="I11" s="37"/>
    </row>
    <row r="12" spans="1:9" x14ac:dyDescent="0.2">
      <c r="A12" s="57"/>
      <c r="B12" s="57"/>
      <c r="C12" s="38"/>
      <c r="D12" s="38"/>
      <c r="E12" s="38"/>
      <c r="F12" s="38"/>
      <c r="G12" s="50"/>
      <c r="H12" s="37"/>
      <c r="I12" s="37"/>
    </row>
    <row r="13" spans="1:9" x14ac:dyDescent="0.2">
      <c r="A13" s="57"/>
      <c r="B13" s="57"/>
      <c r="C13" s="38"/>
      <c r="D13" s="38"/>
      <c r="E13" s="38"/>
      <c r="F13" s="38"/>
      <c r="G13" s="50"/>
      <c r="H13" s="37"/>
      <c r="I13" s="37"/>
    </row>
    <row r="14" spans="1:9" x14ac:dyDescent="0.2">
      <c r="A14" s="57"/>
      <c r="B14" s="57"/>
      <c r="C14" s="38"/>
      <c r="D14" s="38"/>
      <c r="E14" s="38"/>
      <c r="F14" s="38"/>
      <c r="G14" s="50"/>
      <c r="H14" s="37"/>
      <c r="I14" s="37"/>
    </row>
    <row r="15" spans="1:9" x14ac:dyDescent="0.2">
      <c r="A15" s="57"/>
      <c r="B15" s="57"/>
      <c r="C15" s="38"/>
      <c r="D15" s="38"/>
      <c r="E15" s="38"/>
      <c r="F15" s="38"/>
      <c r="G15" s="50"/>
      <c r="H15" s="37"/>
      <c r="I15" s="37"/>
    </row>
    <row r="16" spans="1:9" x14ac:dyDescent="0.2">
      <c r="A16" s="57"/>
      <c r="B16" s="57"/>
      <c r="C16" s="38"/>
      <c r="D16" s="38"/>
      <c r="E16" s="38"/>
      <c r="F16" s="38"/>
      <c r="G16" s="50"/>
      <c r="H16" s="37"/>
      <c r="I16" s="37"/>
    </row>
    <row r="17" spans="1:9" x14ac:dyDescent="0.2">
      <c r="A17" s="57"/>
      <c r="B17" s="57"/>
      <c r="C17" s="38"/>
      <c r="D17" s="38"/>
      <c r="E17" s="38"/>
      <c r="F17" s="38"/>
      <c r="G17" s="50"/>
      <c r="H17" s="37"/>
      <c r="I17" s="37"/>
    </row>
    <row r="18" spans="1:9" x14ac:dyDescent="0.2">
      <c r="A18" s="57"/>
      <c r="B18" s="57"/>
      <c r="C18" s="38"/>
      <c r="D18" s="38"/>
      <c r="E18" s="38"/>
      <c r="F18" s="38"/>
      <c r="G18" s="50"/>
      <c r="H18" s="37"/>
      <c r="I18" s="37"/>
    </row>
    <row r="19" spans="1:9" x14ac:dyDescent="0.2">
      <c r="A19" s="22"/>
      <c r="B19" s="23"/>
      <c r="C19" s="23"/>
      <c r="D19" s="23"/>
      <c r="E19" s="23"/>
      <c r="F19" s="23"/>
      <c r="G19" s="23"/>
      <c r="H19" s="23"/>
      <c r="I19" s="24"/>
    </row>
  </sheetData>
  <sheetProtection selectLockedCells="1"/>
  <phoneticPr fontId="1" type="noConversion"/>
  <dataValidations count="3">
    <dataValidation type="list" allowBlank="1" showInputMessage="1" sqref="H2:H18" xr:uid="{00000000-0002-0000-0700-000000000000}">
      <formula1>TVSTRL</formula1>
    </dataValidation>
    <dataValidation type="list" allowBlank="1" showInputMessage="1" sqref="I2:I18" xr:uid="{00000000-0002-0000-0700-000001000000}">
      <formula1>TVENRL</formula1>
    </dataValidation>
    <dataValidation type="list" showInputMessage="1" showErrorMessage="1" errorTitle="Invalid Arm Code" error="The arm code you have entered is not valid.  Please choose an arm code from the TA sheet." sqref="F2:F18"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1</xdr:row>
                <xdr:rowOff>0</xdr:rowOff>
              </from>
              <to>
                <xdr:col>9</xdr:col>
                <xdr:colOff>333375</xdr:colOff>
                <xdr:row>2</xdr:row>
                <xdr:rowOff>19050</xdr:rowOff>
              </to>
            </anchor>
          </controlPr>
        </control>
      </mc:Choice>
      <mc:Fallback>
        <control shapeId="4111"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0F1A-7BAE-4AE3-B062-E8959AA36F28}">
  <sheetPr codeName="Sheet12">
    <tabColor theme="5"/>
  </sheetPr>
  <dimension ref="A1:B6"/>
  <sheetViews>
    <sheetView workbookViewId="0"/>
  </sheetViews>
  <sheetFormatPr defaultRowHeight="12.75" x14ac:dyDescent="0.2"/>
  <sheetData>
    <row r="1" spans="1:2" x14ac:dyDescent="0.2">
      <c r="A1" s="71" t="s">
        <v>377</v>
      </c>
    </row>
    <row r="2" spans="1:2" x14ac:dyDescent="0.2">
      <c r="A2" s="71" t="s">
        <v>378</v>
      </c>
    </row>
    <row r="3" spans="1:2" x14ac:dyDescent="0.2">
      <c r="A3" s="71" t="s">
        <v>379</v>
      </c>
    </row>
    <row r="5" spans="1:2" x14ac:dyDescent="0.2">
      <c r="A5" s="72" t="str">
        <f>HYPERLINK("https://github.com/phuse-org/TestDataFactory/blob/master/Minutes/2020-10-09.md", "See TDF meeting minutes for background discussion")</f>
        <v>See TDF meeting minutes for background discussion</v>
      </c>
    </row>
    <row r="6" spans="1:2" x14ac:dyDescent="0.2">
      <c r="B6" s="72" t="s">
        <v>380</v>
      </c>
    </row>
  </sheetData>
  <hyperlinks>
    <hyperlink ref="B6" r:id="rId1" xr:uid="{7C89E601-FD67-4F41-99B8-486B7F8EF25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6"/>
    <pageSetUpPr fitToPage="1"/>
  </sheetPr>
  <dimension ref="A1:H19"/>
  <sheetViews>
    <sheetView showZeros="0" workbookViewId="0">
      <pane ySplit="1" topLeftCell="A2" activePane="bottomLeft" state="frozen"/>
      <selection activeCell="H33" sqref="H33"/>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6384" width="9.140625" style="2"/>
  </cols>
  <sheetData>
    <row r="1" spans="1:8" s="1" customFormat="1" x14ac:dyDescent="0.2">
      <c r="A1" s="40" t="s">
        <v>0</v>
      </c>
      <c r="B1" s="55" t="s">
        <v>1</v>
      </c>
      <c r="C1" s="55" t="s">
        <v>18</v>
      </c>
      <c r="D1" s="55" t="s">
        <v>19</v>
      </c>
      <c r="E1" s="55" t="s">
        <v>20</v>
      </c>
      <c r="F1" s="55" t="s">
        <v>21</v>
      </c>
      <c r="G1" s="55" t="s">
        <v>263</v>
      </c>
      <c r="H1" s="56" t="s">
        <v>57</v>
      </c>
    </row>
    <row r="2" spans="1:8" x14ac:dyDescent="0.2">
      <c r="A2" s="29" t="str">
        <f>StudyID</f>
        <v>TDF-001</v>
      </c>
      <c r="B2" s="29" t="s">
        <v>261</v>
      </c>
      <c r="C2" s="38" t="s">
        <v>47</v>
      </c>
      <c r="D2" s="37" t="s">
        <v>49</v>
      </c>
      <c r="E2" s="38" t="s">
        <v>48</v>
      </c>
      <c r="F2" s="38"/>
      <c r="G2" s="38"/>
      <c r="H2" s="37" t="s">
        <v>49</v>
      </c>
    </row>
    <row r="3" spans="1:8" x14ac:dyDescent="0.2">
      <c r="A3" s="29" t="str">
        <f>StudyID</f>
        <v>TDF-001</v>
      </c>
      <c r="B3" s="29" t="s">
        <v>261</v>
      </c>
      <c r="C3" s="38" t="s">
        <v>307</v>
      </c>
      <c r="D3" s="37" t="s">
        <v>309</v>
      </c>
      <c r="E3" s="38" t="s">
        <v>48</v>
      </c>
      <c r="F3" s="38"/>
      <c r="G3" s="38"/>
      <c r="H3" s="37" t="s">
        <v>309</v>
      </c>
    </row>
    <row r="4" spans="1:8" x14ac:dyDescent="0.2">
      <c r="A4" s="29" t="str">
        <f>StudyID</f>
        <v>TDF-001</v>
      </c>
      <c r="B4" s="29" t="s">
        <v>261</v>
      </c>
      <c r="C4" s="38" t="s">
        <v>308</v>
      </c>
      <c r="D4" s="37" t="s">
        <v>310</v>
      </c>
      <c r="E4" s="38" t="s">
        <v>48</v>
      </c>
      <c r="F4" s="38"/>
      <c r="G4" s="38"/>
      <c r="H4" s="37" t="s">
        <v>310</v>
      </c>
    </row>
    <row r="5" spans="1:8" ht="52.5" x14ac:dyDescent="0.2">
      <c r="A5" s="29" t="str">
        <f>StudyID</f>
        <v>TDF-001</v>
      </c>
      <c r="B5" s="29" t="s">
        <v>261</v>
      </c>
      <c r="C5" s="38" t="s">
        <v>50</v>
      </c>
      <c r="D5" s="37" t="s">
        <v>58</v>
      </c>
      <c r="E5" s="38" t="s">
        <v>51</v>
      </c>
      <c r="F5" s="38"/>
      <c r="G5" s="38"/>
      <c r="H5" s="37" t="s">
        <v>59</v>
      </c>
    </row>
    <row r="6" spans="1:8" x14ac:dyDescent="0.2">
      <c r="A6" s="29" t="str">
        <f>StudyID</f>
        <v>TDF-001</v>
      </c>
      <c r="B6" s="29" t="s">
        <v>261</v>
      </c>
      <c r="C6" s="38" t="s">
        <v>311</v>
      </c>
      <c r="D6" s="37" t="s">
        <v>312</v>
      </c>
      <c r="E6" s="38" t="s">
        <v>51</v>
      </c>
      <c r="F6" s="38"/>
      <c r="G6" s="38"/>
      <c r="H6" s="37" t="s">
        <v>312</v>
      </c>
    </row>
    <row r="7" spans="1:8" x14ac:dyDescent="0.2">
      <c r="A7" s="29"/>
      <c r="B7" s="29"/>
      <c r="C7" s="59"/>
      <c r="D7" s="58"/>
      <c r="E7" s="59"/>
      <c r="F7" s="59"/>
      <c r="G7" s="59"/>
      <c r="H7" s="58"/>
    </row>
    <row r="8" spans="1:8" x14ac:dyDescent="0.2">
      <c r="A8" s="29"/>
      <c r="B8" s="29"/>
      <c r="C8" s="38"/>
      <c r="D8" s="37"/>
      <c r="E8" s="38"/>
      <c r="F8" s="38"/>
      <c r="G8" s="38"/>
      <c r="H8" s="37"/>
    </row>
    <row r="9" spans="1:8" x14ac:dyDescent="0.2">
      <c r="A9" s="29"/>
      <c r="B9" s="29"/>
      <c r="C9" s="38"/>
      <c r="D9" s="37"/>
      <c r="E9" s="38"/>
      <c r="F9" s="38"/>
      <c r="G9" s="38"/>
      <c r="H9" s="37"/>
    </row>
    <row r="10" spans="1:8" x14ac:dyDescent="0.2">
      <c r="A10" s="29"/>
      <c r="B10" s="29"/>
      <c r="C10" s="38"/>
      <c r="D10" s="37"/>
      <c r="E10" s="38"/>
      <c r="F10" s="38"/>
      <c r="G10" s="38"/>
      <c r="H10" s="37"/>
    </row>
    <row r="11" spans="1:8" x14ac:dyDescent="0.2">
      <c r="A11" s="29"/>
      <c r="B11" s="29"/>
      <c r="C11" s="38"/>
      <c r="D11" s="37"/>
      <c r="E11" s="38"/>
      <c r="F11" s="38"/>
      <c r="G11" s="38"/>
      <c r="H11" s="37"/>
    </row>
    <row r="12" spans="1:8" x14ac:dyDescent="0.2">
      <c r="A12" s="29"/>
      <c r="B12" s="29"/>
      <c r="C12" s="38"/>
      <c r="D12" s="37"/>
      <c r="E12" s="38"/>
      <c r="F12" s="38"/>
      <c r="G12" s="38"/>
      <c r="H12" s="37"/>
    </row>
    <row r="13" spans="1:8" x14ac:dyDescent="0.2">
      <c r="A13" s="29"/>
      <c r="B13" s="29"/>
      <c r="C13" s="38"/>
      <c r="D13" s="37"/>
      <c r="E13" s="38"/>
      <c r="F13" s="38"/>
      <c r="G13" s="38"/>
      <c r="H13" s="37"/>
    </row>
    <row r="14" spans="1:8" x14ac:dyDescent="0.2">
      <c r="A14" s="29"/>
      <c r="B14" s="29"/>
      <c r="C14" s="38"/>
      <c r="D14" s="37"/>
      <c r="E14" s="38"/>
      <c r="F14" s="38"/>
      <c r="G14" s="38"/>
      <c r="H14" s="37"/>
    </row>
    <row r="15" spans="1:8" x14ac:dyDescent="0.2">
      <c r="A15" s="29"/>
      <c r="B15" s="29"/>
      <c r="C15" s="38"/>
      <c r="D15" s="37"/>
      <c r="E15" s="38"/>
      <c r="F15" s="38"/>
      <c r="G15" s="38"/>
      <c r="H15" s="37"/>
    </row>
    <row r="16" spans="1:8" x14ac:dyDescent="0.2">
      <c r="A16" s="29"/>
      <c r="B16" s="29"/>
      <c r="C16" s="38"/>
      <c r="D16" s="37"/>
      <c r="E16" s="38"/>
      <c r="F16" s="38"/>
      <c r="G16" s="38"/>
      <c r="H16" s="37"/>
    </row>
    <row r="17" spans="1:8" x14ac:dyDescent="0.2">
      <c r="A17" s="29"/>
      <c r="B17" s="29"/>
      <c r="C17" s="38"/>
      <c r="D17" s="37"/>
      <c r="E17" s="38"/>
      <c r="F17" s="38"/>
      <c r="G17" s="38"/>
      <c r="H17" s="37"/>
    </row>
    <row r="18" spans="1:8" x14ac:dyDescent="0.2">
      <c r="A18" s="29"/>
      <c r="B18" s="29"/>
      <c r="C18" s="38"/>
      <c r="D18" s="37"/>
      <c r="E18" s="38"/>
      <c r="F18" s="38"/>
      <c r="G18" s="38"/>
      <c r="H18" s="37"/>
    </row>
    <row r="19" spans="1:8" x14ac:dyDescent="0.2">
      <c r="A19" s="43"/>
      <c r="B19" s="44"/>
      <c r="C19" s="44"/>
      <c r="D19" s="44"/>
      <c r="E19" s="44"/>
      <c r="F19" s="44"/>
      <c r="G19" s="44"/>
      <c r="H19" s="45"/>
    </row>
  </sheetData>
  <sheetProtection selectLockedCells="1"/>
  <phoneticPr fontId="1" type="noConversion"/>
  <dataValidations count="1">
    <dataValidation type="list" allowBlank="1" showInputMessage="1" showErrorMessage="1" sqref="E2:E4 E9:E10 E12:E16 E7"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6"/>
  </sheetPr>
  <dimension ref="A1:E18"/>
  <sheetViews>
    <sheetView workbookViewId="0"/>
  </sheetViews>
  <sheetFormatPr defaultRowHeight="12.75" x14ac:dyDescent="0.2"/>
  <cols>
    <col min="1" max="1" width="11.7109375" style="48" customWidth="1"/>
    <col min="2" max="2" width="11.140625" style="48" customWidth="1"/>
    <col min="3" max="3" width="33.85546875" style="48" bestFit="1" customWidth="1"/>
    <col min="4" max="4" width="14" style="48" bestFit="1" customWidth="1"/>
    <col min="5" max="5" width="78" style="48" bestFit="1" customWidth="1"/>
    <col min="6" max="16384" width="9.140625" style="48"/>
  </cols>
  <sheetData>
    <row r="1" spans="1:5" x14ac:dyDescent="0.2">
      <c r="A1" s="9" t="s">
        <v>314</v>
      </c>
      <c r="B1" s="25" t="s">
        <v>316</v>
      </c>
      <c r="C1" s="25" t="s">
        <v>317</v>
      </c>
      <c r="D1" s="25" t="s">
        <v>315</v>
      </c>
      <c r="E1" s="26" t="s">
        <v>319</v>
      </c>
    </row>
    <row r="2" spans="1:5" ht="73.5" x14ac:dyDescent="0.2">
      <c r="A2" s="7" t="s">
        <v>313</v>
      </c>
      <c r="B2" s="7" t="s">
        <v>318</v>
      </c>
      <c r="C2" s="7" t="s">
        <v>335</v>
      </c>
      <c r="D2" s="8" t="s">
        <v>332</v>
      </c>
      <c r="E2" s="8" t="s">
        <v>334</v>
      </c>
    </row>
    <row r="3" spans="1:5" ht="73.5" x14ac:dyDescent="0.2">
      <c r="A3" s="7" t="s">
        <v>313</v>
      </c>
      <c r="B3" s="7" t="s">
        <v>333</v>
      </c>
      <c r="C3" s="7" t="s">
        <v>336</v>
      </c>
      <c r="D3" s="8" t="s">
        <v>337</v>
      </c>
      <c r="E3" s="8" t="s">
        <v>338</v>
      </c>
    </row>
    <row r="4" spans="1:5" x14ac:dyDescent="0.2">
      <c r="A4" s="7" t="s">
        <v>313</v>
      </c>
      <c r="B4" s="7" t="s">
        <v>345</v>
      </c>
      <c r="C4" s="7" t="s">
        <v>346</v>
      </c>
      <c r="D4" s="8">
        <v>90</v>
      </c>
      <c r="E4" s="8"/>
    </row>
    <row r="5" spans="1:5" x14ac:dyDescent="0.2">
      <c r="A5" s="7" t="s">
        <v>313</v>
      </c>
      <c r="B5" s="7" t="s">
        <v>343</v>
      </c>
      <c r="C5" s="7" t="s">
        <v>344</v>
      </c>
      <c r="D5" s="8">
        <v>90</v>
      </c>
      <c r="E5" s="8"/>
    </row>
    <row r="6" spans="1:5" x14ac:dyDescent="0.2">
      <c r="A6" s="7" t="s">
        <v>313</v>
      </c>
      <c r="B6" s="7" t="s">
        <v>341</v>
      </c>
      <c r="C6" s="7" t="s">
        <v>342</v>
      </c>
      <c r="D6" s="8">
        <v>30</v>
      </c>
      <c r="E6" s="8"/>
    </row>
    <row r="7" spans="1:5" x14ac:dyDescent="0.2">
      <c r="A7" s="7"/>
      <c r="B7" s="7"/>
      <c r="C7" s="7"/>
      <c r="D7" s="8"/>
      <c r="E7" s="8"/>
    </row>
    <row r="8" spans="1:5" x14ac:dyDescent="0.2">
      <c r="A8" s="7"/>
      <c r="B8" s="7"/>
      <c r="C8" s="7"/>
      <c r="D8" s="8"/>
      <c r="E8" s="8"/>
    </row>
    <row r="9" spans="1:5" x14ac:dyDescent="0.2">
      <c r="A9" s="7"/>
      <c r="B9" s="7"/>
      <c r="C9" s="7"/>
      <c r="D9" s="8"/>
      <c r="E9" s="8"/>
    </row>
    <row r="10" spans="1:5" x14ac:dyDescent="0.2">
      <c r="A10" s="7"/>
      <c r="B10" s="7"/>
      <c r="C10" s="7"/>
      <c r="D10" s="8"/>
      <c r="E10" s="8"/>
    </row>
    <row r="11" spans="1:5" x14ac:dyDescent="0.2">
      <c r="A11" s="7"/>
      <c r="B11" s="7"/>
      <c r="C11" s="7"/>
      <c r="D11" s="8"/>
      <c r="E11" s="8"/>
    </row>
    <row r="12" spans="1:5" x14ac:dyDescent="0.2">
      <c r="A12" s="7"/>
      <c r="B12" s="7"/>
      <c r="C12" s="7"/>
      <c r="D12" s="8"/>
      <c r="E12" s="8"/>
    </row>
    <row r="13" spans="1:5" x14ac:dyDescent="0.2">
      <c r="A13" s="7"/>
      <c r="B13" s="7"/>
      <c r="C13" s="7"/>
      <c r="D13" s="8"/>
      <c r="E13" s="8"/>
    </row>
    <row r="14" spans="1:5" x14ac:dyDescent="0.2">
      <c r="A14" s="7"/>
      <c r="B14" s="7"/>
      <c r="C14" s="7"/>
      <c r="D14" s="8"/>
      <c r="E14" s="8"/>
    </row>
    <row r="15" spans="1:5" x14ac:dyDescent="0.2">
      <c r="A15" s="7"/>
      <c r="B15" s="7"/>
      <c r="C15" s="7"/>
      <c r="D15" s="8"/>
      <c r="E15" s="8"/>
    </row>
    <row r="16" spans="1:5" x14ac:dyDescent="0.2">
      <c r="A16" s="7"/>
      <c r="B16" s="7"/>
      <c r="C16" s="7"/>
      <c r="D16" s="8"/>
      <c r="E16" s="8"/>
    </row>
    <row r="17" spans="1:5" x14ac:dyDescent="0.2">
      <c r="A17" s="7"/>
      <c r="B17" s="7"/>
      <c r="C17" s="7"/>
      <c r="D17" s="8"/>
      <c r="E17" s="8"/>
    </row>
    <row r="18" spans="1:5" x14ac:dyDescent="0.2">
      <c r="A18" s="9"/>
      <c r="B18" s="10"/>
      <c r="C18" s="10"/>
      <c r="D18" s="10"/>
      <c r="E18" s="11"/>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6"/>
  </sheetPr>
  <dimension ref="A1:D4"/>
  <sheetViews>
    <sheetView workbookViewId="0"/>
  </sheetViews>
  <sheetFormatPr defaultRowHeight="12.75" x14ac:dyDescent="0.2"/>
  <cols>
    <col min="1" max="1" width="24.140625" style="48" bestFit="1" customWidth="1"/>
    <col min="2" max="2" width="8.7109375" style="48" bestFit="1" customWidth="1"/>
    <col min="3" max="4" width="12" style="48" bestFit="1" customWidth="1"/>
    <col min="5" max="16384" width="9.140625" style="48"/>
  </cols>
  <sheetData>
    <row r="1" spans="1:4" ht="36.75" customHeight="1" x14ac:dyDescent="0.2">
      <c r="A1" s="12"/>
      <c r="B1" s="52" t="s">
        <v>52</v>
      </c>
      <c r="C1" s="53" t="s">
        <v>53</v>
      </c>
      <c r="D1" s="52" t="s">
        <v>54</v>
      </c>
    </row>
    <row r="2" spans="1:4" x14ac:dyDescent="0.2">
      <c r="A2" s="51" t="s">
        <v>356</v>
      </c>
      <c r="B2" s="54" t="s">
        <v>55</v>
      </c>
      <c r="C2" s="67" t="s">
        <v>365</v>
      </c>
      <c r="D2" s="54" t="s">
        <v>56</v>
      </c>
    </row>
    <row r="3" spans="1:4" x14ac:dyDescent="0.2">
      <c r="A3" s="51" t="s">
        <v>355</v>
      </c>
      <c r="B3" s="54" t="s">
        <v>55</v>
      </c>
      <c r="C3" s="67" t="s">
        <v>364</v>
      </c>
      <c r="D3" s="54" t="s">
        <v>56</v>
      </c>
    </row>
    <row r="4" spans="1:4" x14ac:dyDescent="0.2">
      <c r="A4" s="66" t="s">
        <v>363</v>
      </c>
      <c r="B4" s="54" t="s">
        <v>55</v>
      </c>
      <c r="C4" s="67" t="s">
        <v>339</v>
      </c>
      <c r="D4" s="54"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9"/>
    <pageSetUpPr fitToPage="1"/>
  </sheetPr>
  <dimension ref="A1:J12"/>
  <sheetViews>
    <sheetView showZeros="0" topLeftCell="B1" zoomScaleNormal="100" workbookViewId="0">
      <pane ySplit="1" topLeftCell="A2" activePane="bottomLeft" state="frozen"/>
      <selection activeCell="F40" sqref="F40"/>
      <selection pane="bottomLeft" activeCell="B2" sqref="B2"/>
    </sheetView>
  </sheetViews>
  <sheetFormatPr defaultRowHeight="11.25" x14ac:dyDescent="0.2"/>
  <cols>
    <col min="1" max="1" width="10.140625" style="2" hidden="1" customWidth="1"/>
    <col min="2" max="2" width="7.5703125" style="2" bestFit="1" customWidth="1"/>
    <col min="3" max="3" width="23.42578125" style="2" bestFit="1" customWidth="1"/>
    <col min="4" max="4" width="20.7109375" style="2" bestFit="1" customWidth="1"/>
    <col min="5" max="5" width="8.42578125" style="2" bestFit="1" customWidth="1"/>
    <col min="6" max="6" width="5" style="2" bestFit="1" customWidth="1"/>
    <col min="7" max="7" width="7.85546875" style="2" bestFit="1" customWidth="1"/>
    <col min="8" max="8" width="31.7109375" style="2" bestFit="1" customWidth="1"/>
    <col min="9" max="9" width="8.42578125" style="2" bestFit="1" customWidth="1"/>
    <col min="10" max="10" width="9.7109375" style="2" bestFit="1" customWidth="1"/>
    <col min="11" max="16384" width="9.140625" style="2"/>
  </cols>
  <sheetData>
    <row r="1" spans="1:10" s="1" customFormat="1" x14ac:dyDescent="0.2">
      <c r="A1" s="40" t="s">
        <v>0</v>
      </c>
      <c r="B1" s="28" t="s">
        <v>1</v>
      </c>
      <c r="C1" s="20" t="s">
        <v>4</v>
      </c>
      <c r="D1" s="20" t="s">
        <v>5</v>
      </c>
      <c r="E1" s="20" t="s">
        <v>13</v>
      </c>
      <c r="F1" s="20" t="s">
        <v>2</v>
      </c>
      <c r="G1" s="20" t="s">
        <v>3</v>
      </c>
      <c r="H1" s="20" t="s">
        <v>14</v>
      </c>
      <c r="I1" s="20" t="s">
        <v>15</v>
      </c>
      <c r="J1" s="21" t="s">
        <v>6</v>
      </c>
    </row>
    <row r="2" spans="1:10" s="41" customFormat="1" x14ac:dyDescent="0.2">
      <c r="A2" s="42" t="str">
        <f t="shared" ref="A2:A10" si="0">StudyID</f>
        <v>TDF-001</v>
      </c>
      <c r="B2" s="42" t="s">
        <v>287</v>
      </c>
      <c r="C2" s="59" t="s">
        <v>366</v>
      </c>
      <c r="D2" s="58" t="s">
        <v>356</v>
      </c>
      <c r="E2" s="60">
        <v>1</v>
      </c>
      <c r="F2" s="61" t="s">
        <v>55</v>
      </c>
      <c r="G2" s="50" t="str">
        <f>VLOOKUP($F2,TE!$C:$D,2,FALSE)</f>
        <v>SCRN</v>
      </c>
      <c r="H2" s="58" t="s">
        <v>367</v>
      </c>
      <c r="I2" s="58"/>
      <c r="J2" s="61" t="s">
        <v>52</v>
      </c>
    </row>
    <row r="3" spans="1:10" s="41" customFormat="1" x14ac:dyDescent="0.2">
      <c r="A3" s="42" t="str">
        <f t="shared" si="0"/>
        <v>TDF-001</v>
      </c>
      <c r="B3" s="42" t="s">
        <v>287</v>
      </c>
      <c r="C3" s="59" t="s">
        <v>366</v>
      </c>
      <c r="D3" s="58" t="s">
        <v>356</v>
      </c>
      <c r="E3" s="60">
        <v>2</v>
      </c>
      <c r="F3" s="61" t="s">
        <v>368</v>
      </c>
      <c r="G3" s="50" t="str">
        <f>VLOOKUP($F3,TE!$C:$D,2,FALSE)</f>
        <v>15 mg</v>
      </c>
      <c r="H3" s="58"/>
      <c r="I3" s="58"/>
      <c r="J3" s="61" t="s">
        <v>53</v>
      </c>
    </row>
    <row r="4" spans="1:10" s="41" customFormat="1" x14ac:dyDescent="0.2">
      <c r="A4" s="42" t="str">
        <f t="shared" si="0"/>
        <v>TDF-001</v>
      </c>
      <c r="B4" s="42" t="s">
        <v>287</v>
      </c>
      <c r="C4" s="59" t="s">
        <v>366</v>
      </c>
      <c r="D4" s="58" t="s">
        <v>356</v>
      </c>
      <c r="E4" s="60">
        <v>3</v>
      </c>
      <c r="F4" s="61" t="s">
        <v>56</v>
      </c>
      <c r="G4" s="50" t="str">
        <f>VLOOKUP($F4,TE!$C:$D,2,FALSE)</f>
        <v>FU</v>
      </c>
      <c r="H4" s="58"/>
      <c r="I4" s="58"/>
      <c r="J4" s="61" t="s">
        <v>54</v>
      </c>
    </row>
    <row r="5" spans="1:10" s="41" customFormat="1" x14ac:dyDescent="0.2">
      <c r="A5" s="42" t="str">
        <f t="shared" si="0"/>
        <v>TDF-001</v>
      </c>
      <c r="B5" s="42" t="s">
        <v>287</v>
      </c>
      <c r="C5" s="59" t="s">
        <v>369</v>
      </c>
      <c r="D5" s="58" t="s">
        <v>355</v>
      </c>
      <c r="E5" s="60">
        <v>1</v>
      </c>
      <c r="F5" s="61" t="s">
        <v>55</v>
      </c>
      <c r="G5" s="50" t="str">
        <f>VLOOKUP($F5,TE!$C:$D,2,FALSE)</f>
        <v>SCRN</v>
      </c>
      <c r="H5" s="58" t="s">
        <v>370</v>
      </c>
      <c r="I5" s="58"/>
      <c r="J5" s="61" t="s">
        <v>52</v>
      </c>
    </row>
    <row r="6" spans="1:10" s="41" customFormat="1" x14ac:dyDescent="0.2">
      <c r="A6" s="42" t="str">
        <f t="shared" si="0"/>
        <v>TDF-001</v>
      </c>
      <c r="B6" s="42" t="s">
        <v>287</v>
      </c>
      <c r="C6" s="59" t="s">
        <v>369</v>
      </c>
      <c r="D6" s="58" t="s">
        <v>355</v>
      </c>
      <c r="E6" s="60">
        <v>2</v>
      </c>
      <c r="F6" s="61" t="s">
        <v>371</v>
      </c>
      <c r="G6" s="50" t="str">
        <f>VLOOKUP($F6,TE!$C:$D,2,FALSE)</f>
        <v>25 mg</v>
      </c>
      <c r="H6" s="58"/>
      <c r="I6" s="58"/>
      <c r="J6" s="61" t="s">
        <v>53</v>
      </c>
    </row>
    <row r="7" spans="1:10" s="41" customFormat="1" x14ac:dyDescent="0.2">
      <c r="A7" s="42" t="str">
        <f t="shared" si="0"/>
        <v>TDF-001</v>
      </c>
      <c r="B7" s="42" t="s">
        <v>287</v>
      </c>
      <c r="C7" s="59" t="s">
        <v>369</v>
      </c>
      <c r="D7" s="58" t="s">
        <v>355</v>
      </c>
      <c r="E7" s="60">
        <v>3</v>
      </c>
      <c r="F7" s="61" t="s">
        <v>56</v>
      </c>
      <c r="G7" s="50" t="str">
        <f>VLOOKUP($F7,TE!$C:$D,2,FALSE)</f>
        <v>FU</v>
      </c>
      <c r="H7" s="58"/>
      <c r="I7" s="58"/>
      <c r="J7" s="61" t="s">
        <v>54</v>
      </c>
    </row>
    <row r="8" spans="1:10" s="41" customFormat="1" x14ac:dyDescent="0.2">
      <c r="A8" s="42" t="str">
        <f t="shared" si="0"/>
        <v>TDF-001</v>
      </c>
      <c r="B8" s="42" t="s">
        <v>287</v>
      </c>
      <c r="C8" s="59" t="s">
        <v>226</v>
      </c>
      <c r="D8" s="58" t="s">
        <v>363</v>
      </c>
      <c r="E8" s="60">
        <v>1</v>
      </c>
      <c r="F8" s="61" t="s">
        <v>55</v>
      </c>
      <c r="G8" s="50" t="str">
        <f>VLOOKUP($F8,TE!$C:$D,2,FALSE)</f>
        <v>SCRN</v>
      </c>
      <c r="H8" s="58" t="s">
        <v>372</v>
      </c>
      <c r="I8" s="58"/>
      <c r="J8" s="61" t="s">
        <v>52</v>
      </c>
    </row>
    <row r="9" spans="1:10" s="41" customFormat="1" x14ac:dyDescent="0.2">
      <c r="A9" s="42" t="str">
        <f t="shared" si="0"/>
        <v>TDF-001</v>
      </c>
      <c r="B9" s="42" t="s">
        <v>287</v>
      </c>
      <c r="C9" s="59" t="s">
        <v>226</v>
      </c>
      <c r="D9" s="58" t="s">
        <v>363</v>
      </c>
      <c r="E9" s="60">
        <v>2</v>
      </c>
      <c r="F9" s="61" t="s">
        <v>340</v>
      </c>
      <c r="G9" s="50" t="str">
        <f>VLOOKUP($F9,TE!$C:$D,2,FALSE)</f>
        <v>50 mg</v>
      </c>
      <c r="H9" s="58"/>
      <c r="I9" s="58"/>
      <c r="J9" s="61" t="s">
        <v>53</v>
      </c>
    </row>
    <row r="10" spans="1:10" s="41" customFormat="1" x14ac:dyDescent="0.2">
      <c r="A10" s="42" t="str">
        <f t="shared" si="0"/>
        <v>TDF-001</v>
      </c>
      <c r="B10" s="42" t="s">
        <v>287</v>
      </c>
      <c r="C10" s="59" t="s">
        <v>226</v>
      </c>
      <c r="D10" s="58" t="s">
        <v>363</v>
      </c>
      <c r="E10" s="60">
        <v>3</v>
      </c>
      <c r="F10" s="61" t="s">
        <v>56</v>
      </c>
      <c r="G10" s="50" t="str">
        <f>VLOOKUP($F10,TE!$C:$D,2,FALSE)</f>
        <v>FU</v>
      </c>
      <c r="H10" s="58"/>
      <c r="I10" s="58"/>
      <c r="J10" s="61" t="s">
        <v>54</v>
      </c>
    </row>
    <row r="11" spans="1:10" s="41" customFormat="1" x14ac:dyDescent="0.2">
      <c r="A11" s="42"/>
      <c r="B11" s="42"/>
      <c r="C11" s="59"/>
      <c r="D11" s="58"/>
      <c r="E11" s="60"/>
      <c r="F11" s="61"/>
      <c r="G11" s="50"/>
      <c r="H11" s="58"/>
      <c r="I11" s="58"/>
      <c r="J11" s="61"/>
    </row>
    <row r="12" spans="1:10" x14ac:dyDescent="0.2">
      <c r="B12" s="22"/>
      <c r="C12" s="23"/>
      <c r="D12" s="23"/>
      <c r="E12" s="23"/>
      <c r="F12" s="23"/>
      <c r="G12" s="23"/>
      <c r="H12" s="23"/>
      <c r="I12" s="23"/>
      <c r="J12" s="24"/>
    </row>
  </sheetData>
  <sheetProtection selectLockedCells="1"/>
  <phoneticPr fontId="1" type="noConversion"/>
  <dataValidations count="4">
    <dataValidation type="custom" allowBlank="1" showInputMessage="1" showErrorMessage="1" errorTitle="Invalid Number" error="TAETORD must be a whole number which starts at 1 for the first element in the arm and increments for subsequent elements." sqref="E2" xr:uid="{F2313C98-B2B4-458C-8217-8CC74CABD4B9}">
      <formula1>AND(E2=INT(E2),OR(AND(C2&lt;&gt;#REF!,E2=1),AND(C2=#REF!,E2&gt;#REF!)))</formula1>
    </dataValidation>
    <dataValidation type="custom" allowBlank="1" showInputMessage="1" showErrorMessage="1" errorTitle="Invalid Number" error="TAETORD must be a whole number which starts at 1 for the first element in the arm and increments for subsequent elements." sqref="E3" xr:uid="{2F3E4122-91AB-42ED-B6AD-20074DD85D49}">
      <formula1>AND(E3=INT(E3),OR(AND(C3&lt;&gt;#REF!,E3=1),AND(C3=#REF!,E3&gt;#REF!)))</formula1>
    </dataValidation>
    <dataValidation type="custom" allowBlank="1" showInputMessage="1" showErrorMessage="1" errorTitle="Invalid Number" error="TAETORD must be a whole number which starts at 1 for the first element in the arm and increments for subsequent elements." sqref="E4:E9" xr:uid="{9D2C8A1A-47F8-4B48-B004-3AE2C4BB63D3}">
      <formula1>AND(E4=INT(E4),OR(AND(C4&lt;&gt;#REF!,E4=1),AND(C4=#REF!,E4&gt;#REF!)))</formula1>
    </dataValidation>
    <dataValidation type="custom" allowBlank="1" showInputMessage="1" showErrorMessage="1" errorTitle="Invalid Number" error="TAETORD must be a whole number which starts at 1 for the first element in the arm and increments for subsequent elements." sqref="E10:E11" xr:uid="{E73A7EB8-E18B-4A96-9695-23967206466A}">
      <formula1>AND(E10=INT(E10),OR(AND(C10&lt;&gt;C1048576,E10=1),AND(C10=C1048576,E10&gt;E1048576)))</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11</xdr:col>
                <xdr:colOff>514350</xdr:colOff>
                <xdr:row>1</xdr:row>
                <xdr:rowOff>0</xdr:rowOff>
              </from>
              <to>
                <xdr:col>12</xdr:col>
                <xdr:colOff>66675</xdr:colOff>
                <xdr:row>2</xdr:row>
                <xdr:rowOff>19050</xdr:rowOff>
              </to>
            </anchor>
          </controlPr>
        </control>
      </mc:Choice>
      <mc:Fallback>
        <control shapeId="5133"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9"/>
    <pageSetUpPr fitToPage="1"/>
  </sheetPr>
  <dimension ref="A1:G7"/>
  <sheetViews>
    <sheetView showZeros="0" topLeftCell="B1" zoomScaleNormal="100" workbookViewId="0">
      <pane ySplit="1" topLeftCell="A2" activePane="bottomLeft" state="frozen"/>
      <selection activeCell="F40" sqref="F40"/>
      <selection pane="bottomLeft" activeCell="B2" sqref="B2"/>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7" s="1" customFormat="1" x14ac:dyDescent="0.2">
      <c r="A1" s="27" t="s">
        <v>0</v>
      </c>
      <c r="B1" s="28" t="s">
        <v>1</v>
      </c>
      <c r="C1" s="20" t="s">
        <v>2</v>
      </c>
      <c r="D1" s="20" t="s">
        <v>3</v>
      </c>
      <c r="E1" s="20" t="s">
        <v>10</v>
      </c>
      <c r="F1" s="20" t="s">
        <v>11</v>
      </c>
      <c r="G1" s="21" t="s">
        <v>12</v>
      </c>
    </row>
    <row r="2" spans="1:7" x14ac:dyDescent="0.2">
      <c r="A2" s="49" t="str">
        <f>StudyID</f>
        <v>TDF-001</v>
      </c>
      <c r="B2" s="39" t="s">
        <v>288</v>
      </c>
      <c r="C2" s="59" t="s">
        <v>55</v>
      </c>
      <c r="D2" s="58" t="s">
        <v>55</v>
      </c>
      <c r="E2" s="58"/>
      <c r="F2" s="58"/>
      <c r="G2" s="59"/>
    </row>
    <row r="3" spans="1:7" x14ac:dyDescent="0.2">
      <c r="A3" s="31"/>
      <c r="B3" s="39"/>
      <c r="C3" s="59" t="s">
        <v>368</v>
      </c>
      <c r="D3" s="58" t="s">
        <v>365</v>
      </c>
      <c r="E3" s="58"/>
      <c r="F3" s="58"/>
      <c r="G3" s="59"/>
    </row>
    <row r="4" spans="1:7" x14ac:dyDescent="0.2">
      <c r="A4" s="31"/>
      <c r="B4" s="39"/>
      <c r="C4" s="59" t="s">
        <v>56</v>
      </c>
      <c r="D4" s="58" t="s">
        <v>56</v>
      </c>
      <c r="E4" s="58"/>
      <c r="F4" s="58"/>
      <c r="G4" s="59"/>
    </row>
    <row r="5" spans="1:7" x14ac:dyDescent="0.2">
      <c r="A5" s="31"/>
      <c r="B5" s="39"/>
      <c r="C5" s="59" t="s">
        <v>371</v>
      </c>
      <c r="D5" s="58" t="s">
        <v>364</v>
      </c>
      <c r="E5" s="58"/>
      <c r="F5" s="58"/>
      <c r="G5" s="59"/>
    </row>
    <row r="6" spans="1:7" x14ac:dyDescent="0.2">
      <c r="A6" s="31"/>
      <c r="B6" s="39"/>
      <c r="C6" s="59" t="s">
        <v>340</v>
      </c>
      <c r="D6" s="58" t="s">
        <v>339</v>
      </c>
      <c r="E6" s="58"/>
      <c r="F6" s="58"/>
      <c r="G6" s="59"/>
    </row>
    <row r="7" spans="1:7" x14ac:dyDescent="0.2">
      <c r="B7" s="22"/>
      <c r="C7" s="23"/>
      <c r="D7" s="23"/>
      <c r="E7" s="23"/>
      <c r="F7" s="23"/>
      <c r="G7" s="24"/>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xdr:row>
                <xdr:rowOff>0</xdr:rowOff>
              </from>
              <to>
                <xdr:col>8</xdr:col>
                <xdr:colOff>247650</xdr:colOff>
                <xdr:row>2</xdr:row>
                <xdr:rowOff>19050</xdr:rowOff>
              </to>
            </anchor>
          </controlPr>
        </control>
      </mc:Choice>
      <mc:Fallback>
        <control shapeId="6145" r:id="rId4" name="CommandButton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F175"/>
  <sheetViews>
    <sheetView workbookViewId="0"/>
  </sheetViews>
  <sheetFormatPr defaultRowHeight="12.75" x14ac:dyDescent="0.2"/>
  <cols>
    <col min="1" max="1" width="10.140625" bestFit="1" customWidth="1"/>
    <col min="2" max="2" width="43.85546875" bestFit="1" customWidth="1"/>
    <col min="3" max="3" width="2.140625" customWidth="1"/>
    <col min="4" max="4" width="23.42578125" bestFit="1" customWidth="1"/>
    <col min="5" max="5" width="2.140625" customWidth="1"/>
    <col min="6" max="6" width="5.85546875" bestFit="1" customWidth="1"/>
  </cols>
  <sheetData>
    <row r="1" spans="1:6" x14ac:dyDescent="0.2">
      <c r="A1" t="s">
        <v>27</v>
      </c>
      <c r="B1" t="s">
        <v>211</v>
      </c>
      <c r="D1" t="s">
        <v>4</v>
      </c>
      <c r="F1" t="s">
        <v>2</v>
      </c>
    </row>
    <row r="2" spans="1:6" x14ac:dyDescent="0.2">
      <c r="A2" t="s">
        <v>27</v>
      </c>
      <c r="B2" t="s">
        <v>212</v>
      </c>
      <c r="D2" s="19" t="s">
        <v>369</v>
      </c>
      <c r="F2" s="19" t="s">
        <v>55</v>
      </c>
    </row>
    <row r="3" spans="1:6" x14ac:dyDescent="0.2">
      <c r="A3" t="s">
        <v>27</v>
      </c>
      <c r="B3" t="s">
        <v>213</v>
      </c>
      <c r="D3" s="19" t="s">
        <v>226</v>
      </c>
    </row>
    <row r="4" spans="1:6" x14ac:dyDescent="0.2">
      <c r="A4" t="s">
        <v>27</v>
      </c>
      <c r="B4" t="s">
        <v>214</v>
      </c>
      <c r="D4" s="19" t="s">
        <v>366</v>
      </c>
    </row>
    <row r="5" spans="1:6" x14ac:dyDescent="0.2">
      <c r="A5" t="s">
        <v>27</v>
      </c>
      <c r="B5" t="s">
        <v>215</v>
      </c>
      <c r="D5" s="19"/>
    </row>
    <row r="6" spans="1:6" x14ac:dyDescent="0.2">
      <c r="A6" t="s">
        <v>27</v>
      </c>
      <c r="B6" t="s">
        <v>216</v>
      </c>
      <c r="D6" s="19"/>
    </row>
    <row r="7" spans="1:6" x14ac:dyDescent="0.2">
      <c r="A7" t="s">
        <v>27</v>
      </c>
      <c r="B7" t="s">
        <v>217</v>
      </c>
      <c r="D7" s="19"/>
      <c r="F7" s="19"/>
    </row>
    <row r="8" spans="1:6" x14ac:dyDescent="0.2">
      <c r="A8" t="s">
        <v>27</v>
      </c>
      <c r="B8" t="s">
        <v>218</v>
      </c>
      <c r="D8" s="19"/>
      <c r="F8" s="39"/>
    </row>
    <row r="9" spans="1:6" x14ac:dyDescent="0.2">
      <c r="A9" t="s">
        <v>60</v>
      </c>
      <c r="B9" t="s">
        <v>219</v>
      </c>
      <c r="D9" s="19"/>
    </row>
    <row r="10" spans="1:6" x14ac:dyDescent="0.2">
      <c r="A10" t="s">
        <v>60</v>
      </c>
      <c r="B10" t="s">
        <v>220</v>
      </c>
      <c r="D10" s="19"/>
    </row>
    <row r="11" spans="1:6" x14ac:dyDescent="0.2">
      <c r="A11" t="s">
        <v>60</v>
      </c>
      <c r="B11" t="s">
        <v>221</v>
      </c>
      <c r="D11" s="19"/>
    </row>
    <row r="12" spans="1:6" x14ac:dyDescent="0.2">
      <c r="A12" t="s">
        <v>60</v>
      </c>
      <c r="B12" t="s">
        <v>222</v>
      </c>
      <c r="D12" s="19"/>
    </row>
    <row r="13" spans="1:6" x14ac:dyDescent="0.2">
      <c r="A13" t="s">
        <v>60</v>
      </c>
      <c r="B13" t="s">
        <v>223</v>
      </c>
    </row>
    <row r="14" spans="1:6" x14ac:dyDescent="0.2">
      <c r="A14" t="s">
        <v>20</v>
      </c>
      <c r="B14" t="s">
        <v>51</v>
      </c>
    </row>
    <row r="15" spans="1:6" x14ac:dyDescent="0.2">
      <c r="A15" t="s">
        <v>20</v>
      </c>
      <c r="B15" t="s">
        <v>48</v>
      </c>
    </row>
    <row r="16" spans="1:6" x14ac:dyDescent="0.2">
      <c r="A16" t="s">
        <v>204</v>
      </c>
      <c r="B16" t="s">
        <v>252</v>
      </c>
    </row>
    <row r="17" spans="1:6" x14ac:dyDescent="0.2">
      <c r="A17" t="s">
        <v>204</v>
      </c>
      <c r="B17" t="s">
        <v>243</v>
      </c>
      <c r="D17" s="6"/>
      <c r="F17" s="5"/>
    </row>
    <row r="18" spans="1:6" x14ac:dyDescent="0.2">
      <c r="A18" t="s">
        <v>204</v>
      </c>
      <c r="B18" t="s">
        <v>253</v>
      </c>
    </row>
    <row r="19" spans="1:6" x14ac:dyDescent="0.2">
      <c r="A19" t="s">
        <v>204</v>
      </c>
      <c r="B19" t="s">
        <v>254</v>
      </c>
    </row>
    <row r="20" spans="1:6" x14ac:dyDescent="0.2">
      <c r="A20" t="s">
        <v>38</v>
      </c>
      <c r="B20" t="s">
        <v>84</v>
      </c>
    </row>
    <row r="21" spans="1:6" x14ac:dyDescent="0.2">
      <c r="A21" t="s">
        <v>38</v>
      </c>
      <c r="B21" t="s">
        <v>85</v>
      </c>
    </row>
    <row r="22" spans="1:6" x14ac:dyDescent="0.2">
      <c r="A22" t="s">
        <v>38</v>
      </c>
      <c r="B22" t="s">
        <v>86</v>
      </c>
    </row>
    <row r="23" spans="1:6" x14ac:dyDescent="0.2">
      <c r="A23" t="s">
        <v>38</v>
      </c>
      <c r="B23" t="s">
        <v>87</v>
      </c>
      <c r="D23" s="6"/>
    </row>
    <row r="24" spans="1:6" x14ac:dyDescent="0.2">
      <c r="A24" t="s">
        <v>38</v>
      </c>
      <c r="B24" t="s">
        <v>88</v>
      </c>
    </row>
    <row r="25" spans="1:6" x14ac:dyDescent="0.2">
      <c r="A25" t="s">
        <v>38</v>
      </c>
      <c r="B25" t="s">
        <v>89</v>
      </c>
    </row>
    <row r="26" spans="1:6" x14ac:dyDescent="0.2">
      <c r="A26" t="s">
        <v>38</v>
      </c>
      <c r="B26" t="s">
        <v>90</v>
      </c>
      <c r="D26" s="5"/>
    </row>
    <row r="27" spans="1:6" x14ac:dyDescent="0.2">
      <c r="A27" t="s">
        <v>38</v>
      </c>
      <c r="B27" t="s">
        <v>91</v>
      </c>
    </row>
    <row r="28" spans="1:6" x14ac:dyDescent="0.2">
      <c r="A28" t="s">
        <v>38</v>
      </c>
      <c r="B28" t="s">
        <v>92</v>
      </c>
    </row>
    <row r="29" spans="1:6" x14ac:dyDescent="0.2">
      <c r="A29" t="s">
        <v>38</v>
      </c>
      <c r="B29" t="s">
        <v>93</v>
      </c>
    </row>
    <row r="30" spans="1:6" x14ac:dyDescent="0.2">
      <c r="A30" t="s">
        <v>38</v>
      </c>
      <c r="B30" t="s">
        <v>94</v>
      </c>
    </row>
    <row r="31" spans="1:6" x14ac:dyDescent="0.2">
      <c r="A31" t="s">
        <v>38</v>
      </c>
      <c r="B31" t="s">
        <v>95</v>
      </c>
    </row>
    <row r="32" spans="1:6" x14ac:dyDescent="0.2">
      <c r="A32" t="s">
        <v>38</v>
      </c>
      <c r="B32" t="s">
        <v>96</v>
      </c>
    </row>
    <row r="33" spans="1:2" x14ac:dyDescent="0.2">
      <c r="A33" t="s">
        <v>38</v>
      </c>
      <c r="B33" t="s">
        <v>97</v>
      </c>
    </row>
    <row r="34" spans="1:2" x14ac:dyDescent="0.2">
      <c r="A34" t="s">
        <v>38</v>
      </c>
      <c r="B34" t="s">
        <v>98</v>
      </c>
    </row>
    <row r="35" spans="1:2" x14ac:dyDescent="0.2">
      <c r="A35" t="s">
        <v>38</v>
      </c>
      <c r="B35" t="s">
        <v>99</v>
      </c>
    </row>
    <row r="36" spans="1:2" x14ac:dyDescent="0.2">
      <c r="A36" t="s">
        <v>38</v>
      </c>
      <c r="B36" t="s">
        <v>100</v>
      </c>
    </row>
    <row r="37" spans="1:2" x14ac:dyDescent="0.2">
      <c r="A37" t="s">
        <v>38</v>
      </c>
      <c r="B37" t="s">
        <v>101</v>
      </c>
    </row>
    <row r="38" spans="1:2" x14ac:dyDescent="0.2">
      <c r="A38" t="s">
        <v>38</v>
      </c>
      <c r="B38" t="s">
        <v>102</v>
      </c>
    </row>
    <row r="39" spans="1:2" x14ac:dyDescent="0.2">
      <c r="A39" t="s">
        <v>38</v>
      </c>
      <c r="B39" t="s">
        <v>103</v>
      </c>
    </row>
    <row r="40" spans="1:2" x14ac:dyDescent="0.2">
      <c r="A40" t="s">
        <v>38</v>
      </c>
      <c r="B40" t="s">
        <v>104</v>
      </c>
    </row>
    <row r="41" spans="1:2" x14ac:dyDescent="0.2">
      <c r="A41" t="s">
        <v>38</v>
      </c>
      <c r="B41" t="s">
        <v>105</v>
      </c>
    </row>
    <row r="42" spans="1:2" x14ac:dyDescent="0.2">
      <c r="A42" t="s">
        <v>38</v>
      </c>
      <c r="B42" t="s">
        <v>106</v>
      </c>
    </row>
    <row r="43" spans="1:2" x14ac:dyDescent="0.2">
      <c r="A43" t="s">
        <v>38</v>
      </c>
      <c r="B43" t="s">
        <v>107</v>
      </c>
    </row>
    <row r="44" spans="1:2" x14ac:dyDescent="0.2">
      <c r="A44" t="s">
        <v>38</v>
      </c>
      <c r="B44" t="s">
        <v>108</v>
      </c>
    </row>
    <row r="45" spans="1:2" x14ac:dyDescent="0.2">
      <c r="A45" t="s">
        <v>38</v>
      </c>
      <c r="B45" t="s">
        <v>109</v>
      </c>
    </row>
    <row r="46" spans="1:2" x14ac:dyDescent="0.2">
      <c r="A46" t="s">
        <v>38</v>
      </c>
      <c r="B46" t="s">
        <v>110</v>
      </c>
    </row>
    <row r="47" spans="1:2" x14ac:dyDescent="0.2">
      <c r="A47" t="s">
        <v>38</v>
      </c>
      <c r="B47" t="s">
        <v>111</v>
      </c>
    </row>
    <row r="48" spans="1:2" x14ac:dyDescent="0.2">
      <c r="A48" t="s">
        <v>38</v>
      </c>
      <c r="B48" t="s">
        <v>112</v>
      </c>
    </row>
    <row r="49" spans="1:2" x14ac:dyDescent="0.2">
      <c r="A49" t="s">
        <v>38</v>
      </c>
      <c r="B49" t="s">
        <v>113</v>
      </c>
    </row>
    <row r="50" spans="1:2" x14ac:dyDescent="0.2">
      <c r="A50" t="s">
        <v>38</v>
      </c>
      <c r="B50" t="s">
        <v>114</v>
      </c>
    </row>
    <row r="51" spans="1:2" x14ac:dyDescent="0.2">
      <c r="A51" t="s">
        <v>38</v>
      </c>
      <c r="B51" t="s">
        <v>115</v>
      </c>
    </row>
    <row r="52" spans="1:2" x14ac:dyDescent="0.2">
      <c r="A52" t="s">
        <v>38</v>
      </c>
      <c r="B52" t="s">
        <v>116</v>
      </c>
    </row>
    <row r="53" spans="1:2" x14ac:dyDescent="0.2">
      <c r="A53" t="s">
        <v>38</v>
      </c>
      <c r="B53" t="s">
        <v>117</v>
      </c>
    </row>
    <row r="54" spans="1:2" x14ac:dyDescent="0.2">
      <c r="A54" t="s">
        <v>38</v>
      </c>
      <c r="B54" t="s">
        <v>118</v>
      </c>
    </row>
    <row r="55" spans="1:2" x14ac:dyDescent="0.2">
      <c r="A55" t="s">
        <v>38</v>
      </c>
      <c r="B55" t="s">
        <v>119</v>
      </c>
    </row>
    <row r="56" spans="1:2" x14ac:dyDescent="0.2">
      <c r="A56" t="s">
        <v>38</v>
      </c>
      <c r="B56" t="s">
        <v>120</v>
      </c>
    </row>
    <row r="57" spans="1:2" x14ac:dyDescent="0.2">
      <c r="A57" t="s">
        <v>38</v>
      </c>
      <c r="B57" t="s">
        <v>121</v>
      </c>
    </row>
    <row r="58" spans="1:2" x14ac:dyDescent="0.2">
      <c r="A58" t="s">
        <v>38</v>
      </c>
      <c r="B58" t="s">
        <v>122</v>
      </c>
    </row>
    <row r="59" spans="1:2" x14ac:dyDescent="0.2">
      <c r="A59" t="s">
        <v>38</v>
      </c>
      <c r="B59" t="s">
        <v>123</v>
      </c>
    </row>
    <row r="60" spans="1:2" x14ac:dyDescent="0.2">
      <c r="A60" t="s">
        <v>38</v>
      </c>
      <c r="B60" t="s">
        <v>124</v>
      </c>
    </row>
    <row r="61" spans="1:2" x14ac:dyDescent="0.2">
      <c r="A61" t="s">
        <v>38</v>
      </c>
      <c r="B61" t="s">
        <v>125</v>
      </c>
    </row>
    <row r="62" spans="1:2" x14ac:dyDescent="0.2">
      <c r="A62" t="s">
        <v>38</v>
      </c>
      <c r="B62" t="s">
        <v>126</v>
      </c>
    </row>
    <row r="63" spans="1:2" x14ac:dyDescent="0.2">
      <c r="A63" t="s">
        <v>38</v>
      </c>
      <c r="B63" t="s">
        <v>127</v>
      </c>
    </row>
    <row r="64" spans="1:2" x14ac:dyDescent="0.2">
      <c r="A64" t="s">
        <v>38</v>
      </c>
      <c r="B64" t="s">
        <v>128</v>
      </c>
    </row>
    <row r="65" spans="1:2" x14ac:dyDescent="0.2">
      <c r="A65" t="s">
        <v>38</v>
      </c>
      <c r="B65" t="s">
        <v>129</v>
      </c>
    </row>
    <row r="66" spans="1:2" x14ac:dyDescent="0.2">
      <c r="A66" t="s">
        <v>38</v>
      </c>
      <c r="B66" t="s">
        <v>130</v>
      </c>
    </row>
    <row r="67" spans="1:2" x14ac:dyDescent="0.2">
      <c r="A67" t="s">
        <v>38</v>
      </c>
      <c r="B67" t="s">
        <v>131</v>
      </c>
    </row>
    <row r="68" spans="1:2" x14ac:dyDescent="0.2">
      <c r="A68" t="s">
        <v>38</v>
      </c>
      <c r="B68" t="s">
        <v>132</v>
      </c>
    </row>
    <row r="69" spans="1:2" x14ac:dyDescent="0.2">
      <c r="A69" t="s">
        <v>38</v>
      </c>
      <c r="B69" t="s">
        <v>133</v>
      </c>
    </row>
    <row r="70" spans="1:2" x14ac:dyDescent="0.2">
      <c r="A70" t="s">
        <v>38</v>
      </c>
      <c r="B70" t="s">
        <v>134</v>
      </c>
    </row>
    <row r="71" spans="1:2" x14ac:dyDescent="0.2">
      <c r="A71" t="s">
        <v>38</v>
      </c>
      <c r="B71" t="s">
        <v>135</v>
      </c>
    </row>
    <row r="72" spans="1:2" x14ac:dyDescent="0.2">
      <c r="A72" t="s">
        <v>38</v>
      </c>
      <c r="B72" t="s">
        <v>136</v>
      </c>
    </row>
    <row r="73" spans="1:2" x14ac:dyDescent="0.2">
      <c r="A73" t="s">
        <v>38</v>
      </c>
      <c r="B73" t="s">
        <v>137</v>
      </c>
    </row>
    <row r="74" spans="1:2" x14ac:dyDescent="0.2">
      <c r="A74" t="s">
        <v>38</v>
      </c>
      <c r="B74" t="s">
        <v>138</v>
      </c>
    </row>
    <row r="75" spans="1:2" x14ac:dyDescent="0.2">
      <c r="A75" t="s">
        <v>38</v>
      </c>
      <c r="B75" t="s">
        <v>139</v>
      </c>
    </row>
    <row r="76" spans="1:2" x14ac:dyDescent="0.2">
      <c r="A76" t="s">
        <v>38</v>
      </c>
      <c r="B76" t="s">
        <v>140</v>
      </c>
    </row>
    <row r="77" spans="1:2" x14ac:dyDescent="0.2">
      <c r="A77" t="s">
        <v>38</v>
      </c>
      <c r="B77" t="s">
        <v>141</v>
      </c>
    </row>
    <row r="78" spans="1:2" x14ac:dyDescent="0.2">
      <c r="A78" t="s">
        <v>38</v>
      </c>
      <c r="B78" t="s">
        <v>142</v>
      </c>
    </row>
    <row r="79" spans="1:2" x14ac:dyDescent="0.2">
      <c r="A79" t="s">
        <v>38</v>
      </c>
      <c r="B79" t="s">
        <v>143</v>
      </c>
    </row>
    <row r="80" spans="1:2" x14ac:dyDescent="0.2">
      <c r="A80" t="s">
        <v>38</v>
      </c>
      <c r="B80" t="s">
        <v>144</v>
      </c>
    </row>
    <row r="81" spans="1:2" x14ac:dyDescent="0.2">
      <c r="A81" t="s">
        <v>38</v>
      </c>
      <c r="B81" t="s">
        <v>145</v>
      </c>
    </row>
    <row r="82" spans="1:2" x14ac:dyDescent="0.2">
      <c r="A82" t="s">
        <v>38</v>
      </c>
      <c r="B82" t="s">
        <v>146</v>
      </c>
    </row>
    <row r="83" spans="1:2" x14ac:dyDescent="0.2">
      <c r="A83" t="s">
        <v>38</v>
      </c>
      <c r="B83" t="s">
        <v>147</v>
      </c>
    </row>
    <row r="84" spans="1:2" x14ac:dyDescent="0.2">
      <c r="A84" t="s">
        <v>38</v>
      </c>
      <c r="B84" t="s">
        <v>148</v>
      </c>
    </row>
    <row r="85" spans="1:2" x14ac:dyDescent="0.2">
      <c r="A85" t="s">
        <v>38</v>
      </c>
      <c r="B85" t="s">
        <v>149</v>
      </c>
    </row>
    <row r="86" spans="1:2" x14ac:dyDescent="0.2">
      <c r="A86" t="s">
        <v>38</v>
      </c>
      <c r="B86" t="s">
        <v>150</v>
      </c>
    </row>
    <row r="87" spans="1:2" x14ac:dyDescent="0.2">
      <c r="A87" t="s">
        <v>38</v>
      </c>
      <c r="B87" t="s">
        <v>151</v>
      </c>
    </row>
    <row r="88" spans="1:2" x14ac:dyDescent="0.2">
      <c r="A88" t="s">
        <v>38</v>
      </c>
      <c r="B88" t="s">
        <v>152</v>
      </c>
    </row>
    <row r="89" spans="1:2" x14ac:dyDescent="0.2">
      <c r="A89" t="s">
        <v>38</v>
      </c>
      <c r="B89" t="s">
        <v>153</v>
      </c>
    </row>
    <row r="90" spans="1:2" x14ac:dyDescent="0.2">
      <c r="A90" t="s">
        <v>38</v>
      </c>
      <c r="B90" t="s">
        <v>154</v>
      </c>
    </row>
    <row r="91" spans="1:2" x14ac:dyDescent="0.2">
      <c r="A91" t="s">
        <v>38</v>
      </c>
      <c r="B91" t="s">
        <v>155</v>
      </c>
    </row>
    <row r="92" spans="1:2" x14ac:dyDescent="0.2">
      <c r="A92" t="s">
        <v>38</v>
      </c>
      <c r="B92" t="s">
        <v>156</v>
      </c>
    </row>
    <row r="93" spans="1:2" x14ac:dyDescent="0.2">
      <c r="A93" t="s">
        <v>38</v>
      </c>
      <c r="B93" t="s">
        <v>157</v>
      </c>
    </row>
    <row r="94" spans="1:2" x14ac:dyDescent="0.2">
      <c r="A94" t="s">
        <v>38</v>
      </c>
      <c r="B94" t="s">
        <v>158</v>
      </c>
    </row>
    <row r="95" spans="1:2" x14ac:dyDescent="0.2">
      <c r="A95" t="s">
        <v>38</v>
      </c>
      <c r="B95" t="s">
        <v>159</v>
      </c>
    </row>
    <row r="96" spans="1:2" x14ac:dyDescent="0.2">
      <c r="A96" t="s">
        <v>38</v>
      </c>
      <c r="B96" t="s">
        <v>160</v>
      </c>
    </row>
    <row r="97" spans="1:2" x14ac:dyDescent="0.2">
      <c r="A97" t="s">
        <v>38</v>
      </c>
      <c r="B97" t="s">
        <v>161</v>
      </c>
    </row>
    <row r="98" spans="1:2" x14ac:dyDescent="0.2">
      <c r="A98" t="s">
        <v>38</v>
      </c>
      <c r="B98" t="s">
        <v>162</v>
      </c>
    </row>
    <row r="99" spans="1:2" x14ac:dyDescent="0.2">
      <c r="A99" t="s">
        <v>38</v>
      </c>
      <c r="B99" t="s">
        <v>163</v>
      </c>
    </row>
    <row r="100" spans="1:2" x14ac:dyDescent="0.2">
      <c r="A100" t="s">
        <v>38</v>
      </c>
      <c r="B100" t="s">
        <v>164</v>
      </c>
    </row>
    <row r="101" spans="1:2" x14ac:dyDescent="0.2">
      <c r="A101" t="s">
        <v>38</v>
      </c>
      <c r="B101" t="s">
        <v>165</v>
      </c>
    </row>
    <row r="102" spans="1:2" x14ac:dyDescent="0.2">
      <c r="A102" t="s">
        <v>38</v>
      </c>
      <c r="B102" t="s">
        <v>166</v>
      </c>
    </row>
    <row r="103" spans="1:2" x14ac:dyDescent="0.2">
      <c r="A103" t="s">
        <v>38</v>
      </c>
      <c r="B103" t="s">
        <v>167</v>
      </c>
    </row>
    <row r="104" spans="1:2" x14ac:dyDescent="0.2">
      <c r="A104" t="s">
        <v>38</v>
      </c>
      <c r="B104" t="s">
        <v>168</v>
      </c>
    </row>
    <row r="105" spans="1:2" x14ac:dyDescent="0.2">
      <c r="A105" t="s">
        <v>38</v>
      </c>
      <c r="B105" t="s">
        <v>169</v>
      </c>
    </row>
    <row r="106" spans="1:2" x14ac:dyDescent="0.2">
      <c r="A106" t="s">
        <v>38</v>
      </c>
      <c r="B106" t="s">
        <v>170</v>
      </c>
    </row>
    <row r="107" spans="1:2" x14ac:dyDescent="0.2">
      <c r="A107" t="s">
        <v>38</v>
      </c>
      <c r="B107" t="s">
        <v>171</v>
      </c>
    </row>
    <row r="108" spans="1:2" x14ac:dyDescent="0.2">
      <c r="A108" t="s">
        <v>38</v>
      </c>
      <c r="B108" t="s">
        <v>172</v>
      </c>
    </row>
    <row r="109" spans="1:2" x14ac:dyDescent="0.2">
      <c r="A109" t="s">
        <v>38</v>
      </c>
      <c r="B109" t="s">
        <v>173</v>
      </c>
    </row>
    <row r="110" spans="1:2" x14ac:dyDescent="0.2">
      <c r="A110" t="s">
        <v>38</v>
      </c>
      <c r="B110" t="s">
        <v>174</v>
      </c>
    </row>
    <row r="111" spans="1:2" x14ac:dyDescent="0.2">
      <c r="A111" t="s">
        <v>38</v>
      </c>
      <c r="B111" t="s">
        <v>175</v>
      </c>
    </row>
    <row r="112" spans="1:2" x14ac:dyDescent="0.2">
      <c r="A112" t="s">
        <v>38</v>
      </c>
      <c r="B112" t="s">
        <v>176</v>
      </c>
    </row>
    <row r="113" spans="1:2" x14ac:dyDescent="0.2">
      <c r="A113" t="s">
        <v>38</v>
      </c>
      <c r="B113" t="s">
        <v>177</v>
      </c>
    </row>
    <row r="114" spans="1:2" x14ac:dyDescent="0.2">
      <c r="A114" t="s">
        <v>38</v>
      </c>
      <c r="B114" t="s">
        <v>178</v>
      </c>
    </row>
    <row r="115" spans="1:2" x14ac:dyDescent="0.2">
      <c r="A115" t="s">
        <v>38</v>
      </c>
      <c r="B115" t="s">
        <v>179</v>
      </c>
    </row>
    <row r="116" spans="1:2" x14ac:dyDescent="0.2">
      <c r="A116" t="s">
        <v>38</v>
      </c>
      <c r="B116" t="s">
        <v>180</v>
      </c>
    </row>
    <row r="117" spans="1:2" x14ac:dyDescent="0.2">
      <c r="A117" t="s">
        <v>38</v>
      </c>
      <c r="B117" t="s">
        <v>181</v>
      </c>
    </row>
    <row r="118" spans="1:2" x14ac:dyDescent="0.2">
      <c r="A118" t="s">
        <v>38</v>
      </c>
      <c r="B118" t="s">
        <v>182</v>
      </c>
    </row>
    <row r="119" spans="1:2" x14ac:dyDescent="0.2">
      <c r="A119" t="s">
        <v>38</v>
      </c>
      <c r="B119" t="s">
        <v>183</v>
      </c>
    </row>
    <row r="120" spans="1:2" x14ac:dyDescent="0.2">
      <c r="A120" t="s">
        <v>38</v>
      </c>
      <c r="B120" t="s">
        <v>184</v>
      </c>
    </row>
    <row r="121" spans="1:2" x14ac:dyDescent="0.2">
      <c r="A121" t="s">
        <v>38</v>
      </c>
      <c r="B121" t="s">
        <v>185</v>
      </c>
    </row>
    <row r="122" spans="1:2" x14ac:dyDescent="0.2">
      <c r="A122" t="s">
        <v>38</v>
      </c>
      <c r="B122" t="s">
        <v>186</v>
      </c>
    </row>
    <row r="123" spans="1:2" x14ac:dyDescent="0.2">
      <c r="A123" t="s">
        <v>38</v>
      </c>
      <c r="B123" t="s">
        <v>187</v>
      </c>
    </row>
    <row r="124" spans="1:2" x14ac:dyDescent="0.2">
      <c r="A124" t="s">
        <v>38</v>
      </c>
      <c r="B124" t="s">
        <v>188</v>
      </c>
    </row>
    <row r="125" spans="1:2" x14ac:dyDescent="0.2">
      <c r="A125" t="s">
        <v>38</v>
      </c>
      <c r="B125" t="s">
        <v>189</v>
      </c>
    </row>
    <row r="126" spans="1:2" x14ac:dyDescent="0.2">
      <c r="A126" t="s">
        <v>38</v>
      </c>
      <c r="B126" t="s">
        <v>190</v>
      </c>
    </row>
    <row r="127" spans="1:2" x14ac:dyDescent="0.2">
      <c r="A127" t="s">
        <v>38</v>
      </c>
      <c r="B127" t="s">
        <v>191</v>
      </c>
    </row>
    <row r="128" spans="1:2" x14ac:dyDescent="0.2">
      <c r="A128" t="s">
        <v>38</v>
      </c>
      <c r="B128" t="s">
        <v>192</v>
      </c>
    </row>
    <row r="129" spans="1:2" x14ac:dyDescent="0.2">
      <c r="A129" t="s">
        <v>38</v>
      </c>
      <c r="B129" t="s">
        <v>193</v>
      </c>
    </row>
    <row r="130" spans="1:2" x14ac:dyDescent="0.2">
      <c r="A130" t="s">
        <v>38</v>
      </c>
      <c r="B130" t="s">
        <v>194</v>
      </c>
    </row>
    <row r="131" spans="1:2" x14ac:dyDescent="0.2">
      <c r="A131" t="s">
        <v>38</v>
      </c>
      <c r="B131" t="s">
        <v>195</v>
      </c>
    </row>
    <row r="132" spans="1:2" x14ac:dyDescent="0.2">
      <c r="A132" t="s">
        <v>42</v>
      </c>
      <c r="B132" t="s">
        <v>208</v>
      </c>
    </row>
    <row r="133" spans="1:2" x14ac:dyDescent="0.2">
      <c r="A133" t="s">
        <v>42</v>
      </c>
      <c r="B133" t="s">
        <v>209</v>
      </c>
    </row>
    <row r="134" spans="1:2" x14ac:dyDescent="0.2">
      <c r="A134" t="s">
        <v>42</v>
      </c>
      <c r="B134" t="s">
        <v>210</v>
      </c>
    </row>
    <row r="135" spans="1:2" x14ac:dyDescent="0.2">
      <c r="A135" t="s">
        <v>63</v>
      </c>
      <c r="B135" t="s">
        <v>205</v>
      </c>
    </row>
    <row r="136" spans="1:2" x14ac:dyDescent="0.2">
      <c r="A136" t="s">
        <v>63</v>
      </c>
      <c r="B136" t="s">
        <v>206</v>
      </c>
    </row>
    <row r="137" spans="1:2" x14ac:dyDescent="0.2">
      <c r="A137" t="s">
        <v>63</v>
      </c>
      <c r="B137" t="s">
        <v>207</v>
      </c>
    </row>
    <row r="138" spans="1:2" x14ac:dyDescent="0.2">
      <c r="A138" t="s">
        <v>64</v>
      </c>
      <c r="B138" t="s">
        <v>224</v>
      </c>
    </row>
    <row r="139" spans="1:2" x14ac:dyDescent="0.2">
      <c r="A139" t="s">
        <v>64</v>
      </c>
      <c r="B139" t="s">
        <v>225</v>
      </c>
    </row>
    <row r="140" spans="1:2" x14ac:dyDescent="0.2">
      <c r="A140" t="s">
        <v>64</v>
      </c>
      <c r="B140" t="s">
        <v>226</v>
      </c>
    </row>
    <row r="141" spans="1:2" x14ac:dyDescent="0.2">
      <c r="A141" t="s">
        <v>65</v>
      </c>
      <c r="B141" t="s">
        <v>227</v>
      </c>
    </row>
    <row r="142" spans="1:2" x14ac:dyDescent="0.2">
      <c r="A142" t="s">
        <v>78</v>
      </c>
      <c r="B142" t="s">
        <v>228</v>
      </c>
    </row>
    <row r="143" spans="1:2" x14ac:dyDescent="0.2">
      <c r="A143" t="s">
        <v>78</v>
      </c>
      <c r="B143" t="s">
        <v>229</v>
      </c>
    </row>
    <row r="144" spans="1:2" x14ac:dyDescent="0.2">
      <c r="A144" t="s">
        <v>78</v>
      </c>
      <c r="B144" t="s">
        <v>230</v>
      </c>
    </row>
    <row r="145" spans="1:2" x14ac:dyDescent="0.2">
      <c r="A145" t="s">
        <v>78</v>
      </c>
      <c r="B145" t="s">
        <v>231</v>
      </c>
    </row>
    <row r="146" spans="1:2" x14ac:dyDescent="0.2">
      <c r="A146" t="s">
        <v>78</v>
      </c>
      <c r="B146" t="s">
        <v>53</v>
      </c>
    </row>
    <row r="147" spans="1:2" x14ac:dyDescent="0.2">
      <c r="A147" t="s">
        <v>66</v>
      </c>
      <c r="B147" t="s">
        <v>232</v>
      </c>
    </row>
    <row r="148" spans="1:2" x14ac:dyDescent="0.2">
      <c r="A148" t="s">
        <v>66</v>
      </c>
      <c r="B148" t="s">
        <v>233</v>
      </c>
    </row>
    <row r="149" spans="1:2" x14ac:dyDescent="0.2">
      <c r="A149" t="s">
        <v>66</v>
      </c>
      <c r="B149" t="s">
        <v>234</v>
      </c>
    </row>
    <row r="150" spans="1:2" x14ac:dyDescent="0.2">
      <c r="A150" t="s">
        <v>66</v>
      </c>
      <c r="B150" t="s">
        <v>235</v>
      </c>
    </row>
    <row r="151" spans="1:2" x14ac:dyDescent="0.2">
      <c r="A151" t="s">
        <v>66</v>
      </c>
      <c r="B151" t="s">
        <v>236</v>
      </c>
    </row>
    <row r="152" spans="1:2" x14ac:dyDescent="0.2">
      <c r="A152" t="s">
        <v>66</v>
      </c>
      <c r="B152" t="s">
        <v>237</v>
      </c>
    </row>
    <row r="153" spans="1:2" x14ac:dyDescent="0.2">
      <c r="A153" t="s">
        <v>66</v>
      </c>
      <c r="B153" t="s">
        <v>238</v>
      </c>
    </row>
    <row r="154" spans="1:2" x14ac:dyDescent="0.2">
      <c r="A154" t="s">
        <v>66</v>
      </c>
      <c r="B154" t="s">
        <v>239</v>
      </c>
    </row>
    <row r="155" spans="1:2" x14ac:dyDescent="0.2">
      <c r="A155" t="s">
        <v>66</v>
      </c>
      <c r="B155" t="s">
        <v>240</v>
      </c>
    </row>
    <row r="156" spans="1:2" x14ac:dyDescent="0.2">
      <c r="A156" t="s">
        <v>66</v>
      </c>
      <c r="B156" t="s">
        <v>241</v>
      </c>
    </row>
    <row r="157" spans="1:2" x14ac:dyDescent="0.2">
      <c r="A157" t="s">
        <v>66</v>
      </c>
      <c r="B157" t="s">
        <v>242</v>
      </c>
    </row>
    <row r="158" spans="1:2" x14ac:dyDescent="0.2">
      <c r="A158" t="s">
        <v>66</v>
      </c>
      <c r="B158" t="s">
        <v>243</v>
      </c>
    </row>
    <row r="159" spans="1:2" x14ac:dyDescent="0.2">
      <c r="A159" t="s">
        <v>82</v>
      </c>
      <c r="B159" t="s">
        <v>244</v>
      </c>
    </row>
    <row r="160" spans="1:2" x14ac:dyDescent="0.2">
      <c r="A160" t="s">
        <v>82</v>
      </c>
      <c r="B160" t="s">
        <v>245</v>
      </c>
    </row>
    <row r="161" spans="1:2" x14ac:dyDescent="0.2">
      <c r="A161" t="s">
        <v>82</v>
      </c>
      <c r="B161" t="s">
        <v>246</v>
      </c>
    </row>
    <row r="162" spans="1:2" x14ac:dyDescent="0.2">
      <c r="A162" t="s">
        <v>82</v>
      </c>
      <c r="B162" t="s">
        <v>247</v>
      </c>
    </row>
    <row r="163" spans="1:2" x14ac:dyDescent="0.2">
      <c r="A163" t="s">
        <v>82</v>
      </c>
      <c r="B163" t="s">
        <v>248</v>
      </c>
    </row>
    <row r="164" spans="1:2" x14ac:dyDescent="0.2">
      <c r="A164" t="s">
        <v>82</v>
      </c>
      <c r="B164" t="s">
        <v>249</v>
      </c>
    </row>
    <row r="165" spans="1:2" x14ac:dyDescent="0.2">
      <c r="A165" t="s">
        <v>82</v>
      </c>
      <c r="B165" t="s">
        <v>250</v>
      </c>
    </row>
    <row r="166" spans="1:2" x14ac:dyDescent="0.2">
      <c r="A166" t="s">
        <v>82</v>
      </c>
      <c r="B166" t="s">
        <v>251</v>
      </c>
    </row>
    <row r="167" spans="1:2" x14ac:dyDescent="0.2">
      <c r="A167" t="s">
        <v>37</v>
      </c>
      <c r="B167" t="s">
        <v>255</v>
      </c>
    </row>
    <row r="168" spans="1:2" x14ac:dyDescent="0.2">
      <c r="A168" t="s">
        <v>37</v>
      </c>
      <c r="B168" t="s">
        <v>256</v>
      </c>
    </row>
    <row r="169" spans="1:2" x14ac:dyDescent="0.2">
      <c r="A169" t="s">
        <v>37</v>
      </c>
      <c r="B169" t="s">
        <v>257</v>
      </c>
    </row>
    <row r="170" spans="1:2" x14ac:dyDescent="0.2">
      <c r="A170" t="s">
        <v>37</v>
      </c>
      <c r="B170" t="s">
        <v>169</v>
      </c>
    </row>
    <row r="171" spans="1:2" x14ac:dyDescent="0.2">
      <c r="A171" t="s">
        <v>16</v>
      </c>
      <c r="B171" t="s">
        <v>258</v>
      </c>
    </row>
    <row r="172" spans="1:2" x14ac:dyDescent="0.2">
      <c r="A172" t="s">
        <v>16</v>
      </c>
      <c r="B172" t="s">
        <v>259</v>
      </c>
    </row>
    <row r="173" spans="1:2" x14ac:dyDescent="0.2">
      <c r="A173" t="s">
        <v>17</v>
      </c>
      <c r="B173" t="s">
        <v>260</v>
      </c>
    </row>
    <row r="174" spans="1:2" x14ac:dyDescent="0.2">
      <c r="A174" t="s">
        <v>357</v>
      </c>
      <c r="B174" t="s">
        <v>252</v>
      </c>
    </row>
    <row r="175" spans="1:2" x14ac:dyDescent="0.2">
      <c r="A175" t="s">
        <v>357</v>
      </c>
      <c r="B175" t="s">
        <v>254</v>
      </c>
    </row>
  </sheetData>
  <sortState xmlns:xlrd2="http://schemas.microsoft.com/office/spreadsheetml/2017/richdata2" ref="F2:F194">
    <sortCondition ref="F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Hints and Tips</vt:lpstr>
      <vt:lpstr>Interface</vt:lpstr>
      <vt:lpstr>Study</vt:lpstr>
      <vt:lpstr>TS</vt:lpstr>
      <vt:lpstr>TV</vt:lpstr>
      <vt:lpstr>SoA</vt:lpstr>
      <vt:lpstr>TI</vt:lpstr>
      <vt:lpstr>TDF_Configuration</vt:lpstr>
      <vt:lpstr>Trial Design Matrix</vt:lpstr>
      <vt:lpstr>TA</vt:lpstr>
      <vt:lpstr>TE</vt:lpstr>
      <vt:lpstr>Lookup</vt:lpstr>
      <vt:lpstr>ADAPT</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Di Tommaso, Dante /US/EXT</cp:lastModifiedBy>
  <cp:lastPrinted>2009-07-02T18:05:40Z</cp:lastPrinted>
  <dcterms:created xsi:type="dcterms:W3CDTF">2007-04-11T10:29:50Z</dcterms:created>
  <dcterms:modified xsi:type="dcterms:W3CDTF">2020-10-23T19:16:19Z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