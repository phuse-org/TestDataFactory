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H:\documents\SP\PhUSE\TDF_Material\TrialDesign-Tool\"/>
    </mc:Choice>
  </mc:AlternateContent>
  <xr:revisionPtr revIDLastSave="0" documentId="13_ncr:1_{D1E97F9F-42D4-444C-827A-64D50CF1E670}" xr6:coauthVersionLast="41" xr6:coauthVersionMax="41" xr10:uidLastSave="{00000000-0000-0000-0000-000000000000}"/>
  <bookViews>
    <workbookView xWindow="3120" yWindow="3120" windowWidth="21600" windowHeight="11385" tabRatio="743" activeTab="5"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SDTM_Configuration" sheetId="13" r:id="rId9"/>
    <sheet name="Lookup" sheetId="11" state="veryHidden" r:id="rId10"/>
  </sheets>
  <functionGroups builtInGroupCount="19"/>
  <definedNames>
    <definedName name="_xlnm._FilterDatabase" localSheetId="5" hidden="1">TA!$C$1:$C$17</definedName>
    <definedName name="_xlnm._FilterDatabase" localSheetId="6" hidden="1">TE!$C$1:$C$19</definedName>
    <definedName name="_xlnm._FilterDatabase" localSheetId="2" hidden="1">TS!$A$1:$G$31</definedName>
    <definedName name="AGESPAN">Lookup!$B$1:$B$8</definedName>
    <definedName name="AGEU">Lookup!$B$9:$B$13</definedName>
    <definedName name="ARMCD">Lookup!$D$2:$D$3</definedName>
    <definedName name="_xlnm.Criteria" localSheetId="9">Lookup!$D$1</definedName>
    <definedName name="DESIGN">Lookup!$B$167:$B$170</definedName>
    <definedName name="ETCD">Lookup!$F$2:$F$4</definedName>
    <definedName name="_xlnm.Extract" localSheetId="9">Lookup!$D$1</definedName>
    <definedName name="IECAT">Lookup!$B$14:$B$15</definedName>
    <definedName name="NY">Lookup!$B$16:$B$19</definedName>
    <definedName name="ROUTE">Lookup!$B$20:$B$131</definedName>
    <definedName name="SEXPOP">Lookup!$B$132:$B$134</definedName>
    <definedName name="StudyID">Study!$C$2</definedName>
    <definedName name="TA">TA!$A$1:$J$17</definedName>
    <definedName name="TBLIND">Lookup!$B$135:$B$137</definedName>
    <definedName name="TCNTRL">Lookup!$B$138:$B$140</definedName>
    <definedName name="TDIGRP">Lookup!$B$141</definedName>
    <definedName name="TE">TE!$A$1:$G$19</definedName>
    <definedName name="TI">TI!$A$1:$H$19</definedName>
    <definedName name="TINDTP">Lookup!$B$142:$B$146</definedName>
    <definedName name="TPHASE">Lookup!$B$147:$B$158</definedName>
    <definedName name="TS">TS!$A$1:$G$31</definedName>
    <definedName name="TTYPE">Lookup!$B$159:$B$166</definedName>
    <definedName name="TV">TV!$A$1:$I$19</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4" i="1" l="1"/>
  <c r="A3" i="1"/>
  <c r="A2" i="1"/>
  <c r="G7" i="2"/>
  <c r="A7" i="2"/>
  <c r="G6" i="2"/>
  <c r="A6" i="2"/>
  <c r="G5" i="2"/>
  <c r="A5" i="2"/>
  <c r="G4" i="2"/>
  <c r="A4" i="2"/>
  <c r="G3" i="2"/>
  <c r="A3" i="2"/>
  <c r="G2" i="2"/>
  <c r="A2" i="2"/>
  <c r="B2" i="7"/>
  <c r="A2" i="7"/>
  <c r="B4" i="7" l="1"/>
  <c r="A4" i="7"/>
  <c r="A6" i="4" l="1"/>
  <c r="A4" i="4"/>
  <c r="A3" i="4"/>
  <c r="B30" i="7"/>
  <c r="B29" i="7"/>
  <c r="A30" i="7"/>
  <c r="A29" i="7"/>
  <c r="A12" i="3"/>
  <c r="A11" i="3"/>
  <c r="A10" i="3"/>
  <c r="A9" i="3"/>
  <c r="A8" i="3"/>
  <c r="A7" i="3"/>
  <c r="A6" i="3"/>
  <c r="A5" i="3"/>
  <c r="A4" i="3"/>
  <c r="A3" i="3"/>
  <c r="A2" i="3"/>
  <c r="A2" i="4"/>
  <c r="A5" i="4"/>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<sst xmlns="http://schemas.openxmlformats.org/spreadsheetml/2006/main" count="632" uniqueCount="362">
  <si>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</si>
  <si>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</si>
  <si>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</si>
  <si>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</si>
  <si>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</si>
  <si>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</si>
  <si>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</si>
  <si>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</si>
  <si>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</si>
  <si>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</si>
  <si>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</si>
  <si>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</si>
  <si>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</si>
  <si>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</si>
  <si>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</si>
  <si>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</si>
  <si>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</si>
  <si>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</si>
  <si>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</si>
  <si>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</si>
  <si>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</si>
  <si>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</si>
  <si>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</si>
  <si>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</si>
  <si>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</si>
  <si>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</si>
  <si>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</si>
  <si>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</si>
  <si>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</si>
  <si>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</si>
  <si>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</si>
  <si>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</si>
  <si>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</si>
  <si>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</si>
  <si>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</si>
  <si>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</si>
  <si>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</si>
  <si>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</si>
  <si>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</si>
  <si>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</si>
  <si>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</si>
  <si>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</si>
  <si>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</si>
  <si>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</si>
  <si>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</si>
  <si>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</si>
  <si>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</si>
  <si>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</si>
  <si>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</si>
  <si>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</si>
  <si>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</si>
  <si>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</si>
  <si>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</si>
  <si>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</si>
  <si>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</si>
  <si>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</si>
  <si>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</si>
  <si>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</si>
  <si>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</si>
  <si>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</si>
  <si>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</si>
  <si>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</si>
  <si>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</si>
  <si>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</si>
  <si>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</si>
  <si>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</si>
  <si>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</si>
  <si>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</si>
  <si>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</si>
  <si>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</si>
  <si>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</si>
  <si>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</si>
  <si>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</si>
  <si>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</si>
  <si>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</si>
  <si>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</si>
  <si>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</si>
  <si>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</si>
  <si>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</si>
  <si>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</si>
  <si>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</si>
  <si>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</si>
  <si>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</si>
  <si>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</si>
  <si>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</si>
  <si>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</si>
  <si>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</si>
  <si>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</si>
  <si>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</si>
  <si>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</si>
  <si>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</si>
  <si>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</si>
  <si>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</si>
  <si>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</si>
  <si>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</si>
  <si>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</si>
  <si>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</si>
  <si>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</si>
  <si>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</si>
  <si>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</si>
  <si>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</si>
  <si>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</si>
  <si>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</si>
  <si>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</si>
  <si>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</si>
  <si>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</si>
  <si>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</si>
  <si>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</si>
  <si>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</si>
  <si>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</si>
  <si>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</si>
  <si>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</si>
  <si>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</si>
  <si>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</si>
  <si>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</si>
  <si>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</si>
  <si>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</si>
  <si>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</si>
  <si>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</si>
  <si>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</si>
  <si>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</si>
  <si>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</si>
  <si>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</si>
  <si>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</si>
  <si>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</si>
  <si>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</si>
  <si>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</si>
  <si>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</si>
  <si>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</si>
  <si>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</si>
  <si>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</si>
  <si>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</si>
  <si>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</si>
  <si>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</si>
  <si>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</si>
  <si>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</si>
  <si>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</si>
  <si>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</si>
  <si>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</si>
  <si>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</si>
  <si>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</si>
  <si>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</si>
  <si>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</si>
  <si>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</si>
  <si>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</si>
  <si>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</si>
  <si>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</si>
  <si>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</si>
  <si>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</si>
  <si>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</si>
  <si>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</si>
  <si>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</si>
  <si>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</si>
  <si>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</si>
  <si>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</si>
  <si>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</si>
  <si>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</si>
  <si>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</si>
  <si>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</si>
  <si>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</si>
  <si>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</si>
  <si>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</si>
  <si>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</si>
  <si>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</si>
  <si>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</si>
  <si>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</si>
  <si>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</si>
  <si>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</si>
  <si>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</si>
  <si>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</si>
  <si>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</si>
  <si>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</si>
  <si>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</si>
  <si>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</si>
  <si>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</si>
  <si>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</si>
  <si>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</si>
  <si>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</si>
  <si>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</si>
  <si>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</si>
  <si>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</si>
  <si>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</si>
  <si>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</si>
  <si>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</si>
  <si>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</si>
  <si>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</si>
  <si>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</si>
  <si>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</si>
  <si>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</si>
  <si>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</si>
  <si>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</si>
  <si>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</si>
  <si>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</si>
  <si>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</si>
  <si>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</si>
  <si>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</si>
  <si>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</si>
  <si>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</si>
  <si>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</si>
  <si>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</si>
  <si>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</si>
  <si>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</si>
  <si>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</si>
  <si>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</si>
  <si>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</si>
  <si>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</si>
  <si>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</si>
  <si>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</si>
  <si>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</si>
  <si>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</si>
  <si>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</si>
  <si>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</si>
  <si>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</si>
  <si>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</si>
  <si>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</si>
  <si>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</si>
  <si>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</si>
  <si>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</si>
  <si>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</si>
  <si>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</si>
  <si>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</si>
  <si>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</si>
  <si>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</si>
  <si>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</si>
  <si>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</si>
  <si>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</si>
  <si>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</si>
  <si>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</si>
  <si>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</si>
  <si>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</si>
  <si>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</si>
  <si>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</si>
  <si>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</si>
  <si>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</si>
  <si>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</si>
  <si>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</si>
  <si>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</si>
  <si>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</si>
  <si>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</si>
  <si>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</si>
  <si>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</si>
  <si>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</si>
  <si>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</si>
  <si>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</si>
  <si>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</si>
  <si>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</si>
  <si>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</si>
  <si>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</si>
  <si>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</si>
  <si>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</si>
  <si>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</si>
  <si>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</si>
  <si>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</si>
  <si>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</si>
  <si>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</si>
  <si>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</si>
  <si>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</si>
  <si>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</si>
  <si>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</si>
  <si>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</si>
  <si>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</si>
  <si>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</si>
  <si>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</si>
  <si>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</si>
  <si>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</si>
  <si>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</si>
  <si>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</si>
  <si>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</si>
  <si>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</si>
  <si>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TS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</si>
  <si>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</si>
  <si>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</si>
  <si>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TI Worksheet:</t>
  </si>
  <si>
    <t>Trial Design Matrix Worksheet:</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</si>
  <si>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</si>
  <si>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</si>
  <si>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</si>
  <si>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</si>
  <si>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</si>
  <si>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</si>
  <si>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</si>
  <si>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</si>
  <si>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</si>
  <si>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</si>
  <si>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</si>
  <si>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</si>
  <si>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</si>
  <si>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</si>
  <si>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</si>
  <si>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</si>
  <si>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</si>
  <si>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</si>
  <si>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</si>
  <si>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</si>
  <si>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</si>
  <si>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</si>
  <si>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</si>
  <si>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</si>
  <si>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</si>
  <si>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</si>
  <si>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</si>
  <si>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</si>
  <si>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</si>
  <si>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</si>
  <si>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4</t>
  </si>
  <si>
    <t>WEEK 5</t>
  </si>
  <si>
    <t>WEEK 6</t>
  </si>
  <si>
    <t>WEEK 7</t>
  </si>
  <si>
    <t>WEEk 8</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</si>
  <si>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</si>
  <si>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</si>
  <si>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</si>
  <si>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</si>
  <si>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</si>
  <si>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</si>
  <si>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</si>
  <si>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</si>
  <si>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</si>
  <si>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</si>
  <si>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</si>
  <si>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</si>
  <si>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</si>
  <si>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</si>
  <si>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</si>
  <si>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</si>
  <si>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</si>
  <si>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</si>
  <si>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</si>
  <si>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</si>
  <si>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</si>
  <si>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</si>
  <si>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</si>
  <si>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</si>
  <si>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</si>
  <si>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</si>
  <si>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</si>
  <si>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</si>
  <si>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</si>
  <si>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</si>
  <si>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</si>
  <si>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</si>
  <si>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</si>
  <si>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</si>
  <si>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</si>
  <si>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</si>
  <si>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</si>
  <si>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</si>
  <si>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</si>
  <si>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</si>
  <si>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</si>
  <si>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</si>
  <si>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t>
  </si>
  <si>
    <t>PBO</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</si>
  <si>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</si>
  <si>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</si>
  <si>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</si>
  <si>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</si>
  <si>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</si>
  <si>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US-001, EU-002=2, JP-003.01, 004 = 4, 005.01</t>
  </si>
  <si>
    <r>
      <t xml:space="preserve">Comma-separated SiteID-SiteWeight pairs, to control balance of subj enrollment at sites.
</t>
    </r>
    <r>
      <rPr>
        <b/>
        <sz val="8"/>
        <rFont val="Tahoma"/>
        <family val="2"/>
      </rPr>
      <t>Any numeric Site ID is expected as INTEGER</t>
    </r>
    <r>
      <rPr>
        <sz val="8"/>
        <rFont val="Tahoma"/>
        <family val="2"/>
      </rPr>
      <t xml:space="preserve">, e.g. 001, and never 001.01. "US-001.01" is a CHAR ID.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</si>
  <si>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t>Active Investigational Drug</t>
  </si>
  <si>
    <t>Placebo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</si>
</sst>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2">
    <xf numFmtId="0" fontId="0" fillId="0" borderId="0"/>
    <xf numFmtId="0" fontId="3" fillId="0" borderId="0"/>
  </cellStyleXfs>
  <cellXfs count="64">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11" fillId="0" borderId="0" xfId="0" applyFont="1" applyAlignment="1">
      <alignment horizontal="lef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1" fillId="0" borderId="0" xfId="0" applyFont="1" applyFill="1" applyBorder="1" applyAlignment="1" applyProtection="1">
      <alignment vertical="top"/>
      <protection locked="0"/>
    </xf>
    <xf numFmtId="0" fontId="4" fillId="0" borderId="0" xfId="0" applyNumberFormat="1"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1" fillId="2"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xf numFmtId="0" fontId="4" fillId="3" borderId="1" xfId="0" applyFont="1" applyFill="1" applyBorder="1" applyAlignment="1" applyProtection="1">
      <alignment vertical="top" wrapText="1"/>
      <protection locked="0"/>
    </xf>
  </cellXfs>
  <cellStyles count="2">
    <cellStyle name="Normal" xfId="0" builtinId="0"/>
    <cellStyle name="Standard_Tabelle1" xfId="1" xr:uid="{00000000-0005-0000-0000-000001000000}"/>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600075</xdr:colOff>
          <xdr:row>5</xdr:row>
          <xdr:rowOff>0</xdr:rowOff>
        </xdr:from>
        <xdr:to>
          <xdr:col>11</xdr:col>
          <xdr:colOff>152400</xdr:colOff>
          <xdr:row>6</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xdr:row>
          <xdr:rowOff>0</xdr:rowOff>
        </xdr:from>
        <xdr:to>
          <xdr:col>8</xdr:col>
          <xdr:colOff>247650</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1</xdr:row>
          <xdr:rowOff>0</xdr:rowOff>
        </xdr:from>
        <xdr:to>
          <xdr:col>9</xdr:col>
          <xdr:colOff>333375</xdr:colOff>
          <xdr:row>2</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2"/>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286</v>
      </c>
    </row>
    <row r="2" spans="1:1" s="14" customFormat="1" ht="23.25" x14ac:dyDescent="0.35">
      <c r="A2" s="17"/>
    </row>
    <row r="3" spans="1:1" ht="45" x14ac:dyDescent="0.2">
      <c r="A3" s="18" t="s">
        <v>290</v>
      </c>
    </row>
    <row r="4" spans="1:1" ht="15" x14ac:dyDescent="0.2">
      <c r="A4" s="18"/>
    </row>
    <row r="5" spans="1:1" ht="15" x14ac:dyDescent="0.2">
      <c r="A5" s="19" t="s">
        <v>268</v>
      </c>
    </row>
    <row r="6" spans="1:1" ht="45" x14ac:dyDescent="0.2">
      <c r="A6" s="18" t="s">
        <v>339</v>
      </c>
    </row>
    <row r="7" spans="1:1" ht="15" x14ac:dyDescent="0.2">
      <c r="A7" s="18"/>
    </row>
    <row r="8" spans="1:1" ht="15" x14ac:dyDescent="0.2">
      <c r="A8" s="19" t="s">
        <v>269</v>
      </c>
    </row>
    <row r="9" spans="1:1" ht="75" x14ac:dyDescent="0.2">
      <c r="A9" s="18" t="s">
        <v>340</v>
      </c>
    </row>
    <row r="10" spans="1:1" ht="15" x14ac:dyDescent="0.2">
      <c r="A10" s="18" t="s">
        <v>270</v>
      </c>
    </row>
    <row r="11" spans="1:1" ht="60" x14ac:dyDescent="0.2">
      <c r="A11" s="20" t="s">
        <v>271</v>
      </c>
    </row>
    <row r="12" spans="1:1" ht="45" x14ac:dyDescent="0.2">
      <c r="A12" s="20" t="s">
        <v>350</v>
      </c>
    </row>
    <row r="13" spans="1:1" ht="15" x14ac:dyDescent="0.2">
      <c r="A13" s="18"/>
    </row>
    <row r="14" spans="1:1" ht="15" x14ac:dyDescent="0.2">
      <c r="A14" s="19" t="s">
        <v>272</v>
      </c>
    </row>
    <row r="15" spans="1:1" ht="60" x14ac:dyDescent="0.2">
      <c r="A15" s="18" t="s">
        <v>277</v>
      </c>
    </row>
    <row r="16" spans="1:1" ht="75" x14ac:dyDescent="0.2">
      <c r="A16" s="18" t="s">
        <v>278</v>
      </c>
    </row>
    <row r="17" spans="1:1" ht="45" x14ac:dyDescent="0.2">
      <c r="A17" s="18" t="s">
        <v>341</v>
      </c>
    </row>
    <row r="18" spans="1:1" ht="15" x14ac:dyDescent="0.2">
      <c r="A18" s="18"/>
    </row>
    <row r="19" spans="1:1" ht="15" x14ac:dyDescent="0.2">
      <c r="A19" s="19" t="s">
        <v>273</v>
      </c>
    </row>
    <row r="20" spans="1:1" ht="45" x14ac:dyDescent="0.2">
      <c r="A20" s="18" t="s">
        <v>342</v>
      </c>
    </row>
    <row r="21" spans="1:1" ht="30" x14ac:dyDescent="0.2">
      <c r="A21" s="18" t="s">
        <v>343</v>
      </c>
    </row>
    <row r="22" spans="1:1" ht="45" x14ac:dyDescent="0.2">
      <c r="A22" s="18" t="s">
        <v>287</v>
      </c>
    </row>
    <row r="23" spans="1:1" ht="30" x14ac:dyDescent="0.2">
      <c r="A23" s="18" t="s">
        <v>344</v>
      </c>
    </row>
    <row r="24" spans="1:1" ht="15" x14ac:dyDescent="0.2">
      <c r="A24" s="18"/>
    </row>
    <row r="25" spans="1:1" ht="15" x14ac:dyDescent="0.2">
      <c r="A25" s="19" t="s">
        <v>274</v>
      </c>
    </row>
    <row r="26" spans="1:1" ht="45" x14ac:dyDescent="0.2">
      <c r="A26" s="18" t="s">
        <v>279</v>
      </c>
    </row>
    <row r="27" spans="1:1" ht="15" x14ac:dyDescent="0.2">
      <c r="A27" s="18" t="s">
        <v>280</v>
      </c>
    </row>
    <row r="28" spans="1:1" ht="30" x14ac:dyDescent="0.2">
      <c r="A28" s="18" t="s">
        <v>281</v>
      </c>
    </row>
    <row r="29" spans="1:1" ht="45" x14ac:dyDescent="0.2">
      <c r="A29" s="18" t="s">
        <v>345</v>
      </c>
    </row>
    <row r="30" spans="1:1" ht="15" x14ac:dyDescent="0.2">
      <c r="A30" s="18" t="s">
        <v>282</v>
      </c>
    </row>
    <row r="31" spans="1:1" ht="45" x14ac:dyDescent="0.2">
      <c r="A31" s="18" t="s">
        <v>283</v>
      </c>
    </row>
    <row r="32" spans="1:1" ht="15" x14ac:dyDescent="0.2">
      <c r="A32" s="18" t="s">
        <v>284</v>
      </c>
    </row>
    <row r="33" spans="1:1" ht="30" x14ac:dyDescent="0.2">
      <c r="A33" s="18" t="s">
        <v>346</v>
      </c>
    </row>
    <row r="34" spans="1:1" ht="45" x14ac:dyDescent="0.2">
      <c r="A34" s="18" t="s">
        <v>347</v>
      </c>
    </row>
    <row r="35" spans="1:1" ht="45" x14ac:dyDescent="0.2">
      <c r="A35" s="18" t="s">
        <v>348</v>
      </c>
    </row>
    <row r="36" spans="1:1" ht="15" x14ac:dyDescent="0.2">
      <c r="A36" s="19" t="s">
        <v>275</v>
      </c>
    </row>
    <row r="37" spans="1:1" ht="30" x14ac:dyDescent="0.2">
      <c r="A37" s="18" t="s">
        <v>289</v>
      </c>
    </row>
    <row r="38" spans="1:1" ht="15" x14ac:dyDescent="0.2">
      <c r="A38" s="18" t="s">
        <v>285</v>
      </c>
    </row>
    <row r="39" spans="1:1" ht="60" x14ac:dyDescent="0.2">
      <c r="A39" s="18" t="s">
        <v>349</v>
      </c>
    </row>
    <row r="40" spans="1:1" ht="15" x14ac:dyDescent="0.2">
      <c r="A40" s="18"/>
    </row>
    <row r="41" spans="1:1" ht="15" x14ac:dyDescent="0.2">
      <c r="A41" s="19" t="s">
        <v>276</v>
      </c>
    </row>
    <row r="42" spans="1:1" ht="75" x14ac:dyDescent="0.2">
      <c r="A42" s="18" t="s">
        <v>288</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291</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32"/>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9.5703125" style="2" bestFit="1" customWidth="1"/>
    <col min="4" max="4" width="15.28515625" style="2" customWidth="1"/>
    <col min="5" max="5" width="13.7109375" style="2" bestFit="1" customWidth="1"/>
    <col min="6" max="6" width="28.42578125" style="2" customWidth="1"/>
    <col min="7" max="7" width="54.140625" style="2" customWidth="1"/>
    <col min="8" max="16384" width="9.140625" style="52"/>
  </cols>
  <sheetData>
    <row r="1" spans="1:7" s="51" customFormat="1" x14ac:dyDescent="0.2">
      <c r="A1" s="9" t="s">
        <v>0</v>
      </c>
      <c r="B1" s="10" t="s">
        <v>1</v>
      </c>
      <c r="C1" s="10" t="s">
        <v>22</v>
      </c>
      <c r="D1" s="10" t="s">
        <v>266</v>
      </c>
      <c r="E1" s="10" t="s">
        <v>23</v>
      </c>
      <c r="F1" s="10" t="s">
        <v>24</v>
      </c>
      <c r="G1" s="11" t="s">
        <v>25</v>
      </c>
    </row>
    <row r="2" spans="1:7" x14ac:dyDescent="0.2">
      <c r="A2" s="31" t="str">
        <f>IF(ISBLANK(E2),"",Study!$C$2)</f>
        <v>TDF-001</v>
      </c>
      <c r="B2" s="31" t="str">
        <f t="shared" ref="B2" si="0">IF(ISBLANK(E2),"","TS")</f>
        <v>TS</v>
      </c>
      <c r="C2" s="31">
        <v>1</v>
      </c>
      <c r="D2" s="32"/>
      <c r="E2" s="33" t="s">
        <v>44</v>
      </c>
      <c r="F2" s="33" t="s">
        <v>84</v>
      </c>
      <c r="G2" s="32" t="s">
        <v>316</v>
      </c>
    </row>
    <row r="3" spans="1:7" x14ac:dyDescent="0.2">
      <c r="A3" s="31" t="str">
        <f>IF(ISBLANK(E3),"",Study!$C$2)</f>
        <v>TDF-001</v>
      </c>
      <c r="B3" s="31" t="str">
        <f t="shared" ref="B3:B31" si="1">IF(ISBLANK(E3),"","TS")</f>
        <v>TS</v>
      </c>
      <c r="C3" s="31">
        <v>1</v>
      </c>
      <c r="D3" s="32"/>
      <c r="E3" s="33" t="s">
        <v>43</v>
      </c>
      <c r="F3" s="33" t="s">
        <v>205</v>
      </c>
      <c r="G3" s="32" t="s">
        <v>292</v>
      </c>
    </row>
    <row r="4" spans="1:7" x14ac:dyDescent="0.2">
      <c r="A4" s="31" t="str">
        <f>IF(ISBLANK(E4),"",Study!$C$2)</f>
        <v>TDF-001</v>
      </c>
      <c r="B4" s="31" t="str">
        <f t="shared" ref="B4" si="2">IF(ISBLANK(E4),"","TS")</f>
        <v>TS</v>
      </c>
      <c r="C4" s="31">
        <v>1</v>
      </c>
      <c r="D4" s="32"/>
      <c r="E4" s="33" t="s">
        <v>67</v>
      </c>
      <c r="F4" s="33" t="s">
        <v>83</v>
      </c>
      <c r="G4" s="32" t="s">
        <v>236</v>
      </c>
    </row>
    <row r="5" spans="1:7" x14ac:dyDescent="0.2">
      <c r="A5" s="31" t="str">
        <f>IF(ISBLANK(E5),"",Study!$C$2)</f>
        <v>TDF-001</v>
      </c>
      <c r="B5" s="31" t="str">
        <f t="shared" si="1"/>
        <v>TS</v>
      </c>
      <c r="C5" s="31">
        <v>1</v>
      </c>
      <c r="D5" s="32"/>
      <c r="E5" s="33" t="s">
        <v>36</v>
      </c>
      <c r="F5" s="33" t="s">
        <v>75</v>
      </c>
      <c r="G5" s="32" t="s">
        <v>258</v>
      </c>
    </row>
    <row r="6" spans="1:7" x14ac:dyDescent="0.2">
      <c r="A6" s="31" t="str">
        <f>IF(ISBLANK(E6),"",Study!$C$2)</f>
        <v>TDF-001</v>
      </c>
      <c r="B6" s="31" t="str">
        <f t="shared" si="1"/>
        <v>TS</v>
      </c>
      <c r="C6" s="31">
        <v>1</v>
      </c>
      <c r="D6" s="32"/>
      <c r="E6" s="33" t="s">
        <v>64</v>
      </c>
      <c r="F6" s="33" t="s">
        <v>78</v>
      </c>
      <c r="G6" s="32" t="s">
        <v>209</v>
      </c>
    </row>
    <row r="7" spans="1:7" x14ac:dyDescent="0.2">
      <c r="A7" s="31" t="str">
        <f>IF(ISBLANK(E7),"",Study!$C$2)</f>
        <v>TDF-001</v>
      </c>
      <c r="B7" s="31" t="str">
        <f t="shared" si="1"/>
        <v>TS</v>
      </c>
      <c r="C7" s="31">
        <v>1</v>
      </c>
      <c r="D7" s="32"/>
      <c r="E7" s="33" t="s">
        <v>65</v>
      </c>
      <c r="F7" s="33" t="s">
        <v>79</v>
      </c>
      <c r="G7" s="32" t="s">
        <v>230</v>
      </c>
    </row>
    <row r="8" spans="1:7" x14ac:dyDescent="0.2">
      <c r="A8" s="31" t="str">
        <f>IF(ISBLANK(E8),"",Study!$C$2)</f>
        <v>TDF-001</v>
      </c>
      <c r="B8" s="31" t="str">
        <f t="shared" si="1"/>
        <v>TS</v>
      </c>
      <c r="C8" s="31">
        <v>1</v>
      </c>
      <c r="D8" s="32"/>
      <c r="E8" s="33" t="s">
        <v>37</v>
      </c>
      <c r="F8" s="33" t="s">
        <v>206</v>
      </c>
      <c r="G8" s="32" t="s">
        <v>259</v>
      </c>
    </row>
    <row r="9" spans="1:7" x14ac:dyDescent="0.2">
      <c r="A9" s="31" t="str">
        <f>IF(ISBLANK(E9),"",Study!$C$2)</f>
        <v>TDF-001</v>
      </c>
      <c r="B9" s="31" t="str">
        <f t="shared" si="1"/>
        <v>TS</v>
      </c>
      <c r="C9" s="31">
        <v>1</v>
      </c>
      <c r="D9" s="32"/>
      <c r="E9" s="33" t="s">
        <v>39</v>
      </c>
      <c r="F9" s="33" t="s">
        <v>203</v>
      </c>
      <c r="G9" s="32" t="s">
        <v>318</v>
      </c>
    </row>
    <row r="10" spans="1:7" x14ac:dyDescent="0.2">
      <c r="A10" s="31" t="str">
        <f>IF(ISBLANK(E10),"",Study!$C$2)</f>
        <v>TDF-001</v>
      </c>
      <c r="B10" s="31" t="str">
        <f t="shared" si="1"/>
        <v>TS</v>
      </c>
      <c r="C10" s="31">
        <v>1</v>
      </c>
      <c r="D10" s="32"/>
      <c r="E10" s="33" t="s">
        <v>40</v>
      </c>
      <c r="F10" s="33" t="s">
        <v>204</v>
      </c>
      <c r="G10" s="32" t="s">
        <v>317</v>
      </c>
    </row>
    <row r="11" spans="1:7" x14ac:dyDescent="0.2">
      <c r="A11" s="31" t="str">
        <f>IF(ISBLANK(E11),"",Study!$C$2)</f>
        <v>TDF-001</v>
      </c>
      <c r="B11" s="31" t="str">
        <f t="shared" si="1"/>
        <v>TS</v>
      </c>
      <c r="C11" s="31">
        <v>1</v>
      </c>
      <c r="D11" s="32"/>
      <c r="E11" s="33" t="s">
        <v>85</v>
      </c>
      <c r="F11" s="33" t="s">
        <v>86</v>
      </c>
      <c r="G11" s="32" t="s">
        <v>255</v>
      </c>
    </row>
    <row r="12" spans="1:7" x14ac:dyDescent="0.2">
      <c r="A12" s="31" t="str">
        <f>IF(ISBLANK(E12),"",Study!$C$2)</f>
        <v>TDF-001</v>
      </c>
      <c r="B12" s="31" t="str">
        <f t="shared" si="1"/>
        <v>TS</v>
      </c>
      <c r="C12" s="31">
        <v>1</v>
      </c>
      <c r="D12" s="32"/>
      <c r="E12" s="33" t="s">
        <v>34</v>
      </c>
      <c r="F12" s="33" t="s">
        <v>202</v>
      </c>
      <c r="G12" s="32" t="s">
        <v>319</v>
      </c>
    </row>
    <row r="13" spans="1:7" x14ac:dyDescent="0.2">
      <c r="A13" s="31" t="str">
        <f>IF(ISBLANK(E13),"",Study!$C$2)</f>
        <v>TDF-001</v>
      </c>
      <c r="B13" s="31" t="str">
        <f t="shared" si="1"/>
        <v>TS</v>
      </c>
      <c r="C13" s="31">
        <v>1</v>
      </c>
      <c r="D13" s="32"/>
      <c r="E13" s="33" t="s">
        <v>81</v>
      </c>
      <c r="F13" s="33" t="s">
        <v>82</v>
      </c>
      <c r="G13" s="32" t="s">
        <v>53</v>
      </c>
    </row>
    <row r="14" spans="1:7" x14ac:dyDescent="0.2">
      <c r="A14" s="31" t="str">
        <f>IF(ISBLANK(E14),"",Study!$C$2)</f>
        <v>TDF-001</v>
      </c>
      <c r="B14" s="31" t="str">
        <f t="shared" si="1"/>
        <v>TS</v>
      </c>
      <c r="C14" s="31">
        <v>1</v>
      </c>
      <c r="D14" s="32"/>
      <c r="E14" s="33" t="s">
        <v>66</v>
      </c>
      <c r="F14" s="33" t="s">
        <v>80</v>
      </c>
      <c r="G14" s="32" t="s">
        <v>319</v>
      </c>
    </row>
    <row r="15" spans="1:7" x14ac:dyDescent="0.2">
      <c r="A15" s="31" t="str">
        <f>IF(ISBLANK(E15),"",Study!$C$2)</f>
        <v>TDF-001</v>
      </c>
      <c r="B15" s="31" t="str">
        <f t="shared" si="1"/>
        <v>TS</v>
      </c>
      <c r="C15" s="31">
        <v>1</v>
      </c>
      <c r="D15" s="32"/>
      <c r="E15" s="33" t="s">
        <v>29</v>
      </c>
      <c r="F15" s="33" t="s">
        <v>71</v>
      </c>
      <c r="G15" s="32" t="s">
        <v>293</v>
      </c>
    </row>
    <row r="16" spans="1:7" x14ac:dyDescent="0.2">
      <c r="A16" s="31" t="str">
        <f>IF(ISBLANK(E16),"",Study!$C$2)</f>
        <v>TDF-001</v>
      </c>
      <c r="B16" s="31" t="str">
        <f t="shared" si="1"/>
        <v>TS</v>
      </c>
      <c r="C16" s="31">
        <v>1</v>
      </c>
      <c r="D16" s="32"/>
      <c r="E16" s="33" t="s">
        <v>28</v>
      </c>
      <c r="F16" s="33" t="s">
        <v>70</v>
      </c>
      <c r="G16" s="32" t="s">
        <v>294</v>
      </c>
    </row>
    <row r="17" spans="1:7" x14ac:dyDescent="0.2">
      <c r="A17" s="31" t="str">
        <f>IF(ISBLANK(E17),"",Study!$C$2)</f>
        <v>TDF-001</v>
      </c>
      <c r="B17" s="31" t="str">
        <f t="shared" si="1"/>
        <v>TS</v>
      </c>
      <c r="C17" s="31">
        <v>1</v>
      </c>
      <c r="D17" s="32"/>
      <c r="E17" s="33" t="s">
        <v>60</v>
      </c>
      <c r="F17" s="33" t="s">
        <v>61</v>
      </c>
      <c r="G17" s="32" t="s">
        <v>227</v>
      </c>
    </row>
    <row r="18" spans="1:7" x14ac:dyDescent="0.2">
      <c r="A18" s="31" t="str">
        <f>IF(ISBLANK(E18),"",Study!$C$2)</f>
        <v>TDF-001</v>
      </c>
      <c r="B18" s="31" t="str">
        <f t="shared" si="1"/>
        <v>TS</v>
      </c>
      <c r="C18" s="31">
        <v>1</v>
      </c>
      <c r="D18" s="32"/>
      <c r="E18" s="33" t="s">
        <v>27</v>
      </c>
      <c r="F18" s="33" t="s">
        <v>69</v>
      </c>
      <c r="G18" s="32" t="s">
        <v>216</v>
      </c>
    </row>
    <row r="19" spans="1:7" x14ac:dyDescent="0.2">
      <c r="A19" s="31" t="str">
        <f>IF(ISBLANK(E19),"",Study!$C$2)</f>
        <v>TDF-001</v>
      </c>
      <c r="B19" s="31" t="str">
        <f t="shared" si="1"/>
        <v>TS</v>
      </c>
      <c r="C19" s="31">
        <v>1</v>
      </c>
      <c r="D19" s="32"/>
      <c r="E19" s="33" t="s">
        <v>42</v>
      </c>
      <c r="F19" s="33" t="s">
        <v>77</v>
      </c>
      <c r="G19" s="32" t="s">
        <v>212</v>
      </c>
    </row>
    <row r="20" spans="1:7" x14ac:dyDescent="0.2">
      <c r="A20" s="31" t="str">
        <f>IF(ISBLANK(E20),"",Study!$C$2)</f>
        <v>TDF-001</v>
      </c>
      <c r="B20" s="31" t="str">
        <f t="shared" si="1"/>
        <v>TS</v>
      </c>
      <c r="C20" s="31">
        <v>1</v>
      </c>
      <c r="D20" s="32"/>
      <c r="E20" s="33" t="s">
        <v>26</v>
      </c>
      <c r="F20" s="33" t="s">
        <v>68</v>
      </c>
      <c r="G20" s="32" t="s">
        <v>256</v>
      </c>
    </row>
    <row r="21" spans="1:7" x14ac:dyDescent="0.2">
      <c r="A21" s="31" t="str">
        <f>IF(ISBLANK(E21),"",Study!$C$2)</f>
        <v>TDF-001</v>
      </c>
      <c r="B21" s="31" t="str">
        <f t="shared" si="1"/>
        <v>TS</v>
      </c>
      <c r="C21" s="31">
        <v>1</v>
      </c>
      <c r="D21" s="32"/>
      <c r="E21" s="33" t="s">
        <v>45</v>
      </c>
      <c r="F21" s="33" t="s">
        <v>207</v>
      </c>
      <c r="G21" s="32" t="s">
        <v>323</v>
      </c>
    </row>
    <row r="22" spans="1:7" x14ac:dyDescent="0.2">
      <c r="A22" s="31" t="str">
        <f>IF(ISBLANK(E22),"",Study!$C$2)</f>
        <v>TDF-001</v>
      </c>
      <c r="B22" s="31" t="str">
        <f t="shared" si="1"/>
        <v>TS</v>
      </c>
      <c r="C22" s="31">
        <v>1</v>
      </c>
      <c r="D22" s="32"/>
      <c r="E22" s="33" t="s">
        <v>30</v>
      </c>
      <c r="F22" s="33" t="s">
        <v>199</v>
      </c>
      <c r="G22" s="32"/>
    </row>
    <row r="23" spans="1:7" x14ac:dyDescent="0.2">
      <c r="A23" s="31" t="str">
        <f>IF(ISBLANK(E23),"",Study!$C$2)</f>
        <v>TDF-001</v>
      </c>
      <c r="B23" s="31" t="str">
        <f t="shared" si="1"/>
        <v>TS</v>
      </c>
      <c r="C23" s="31">
        <v>1</v>
      </c>
      <c r="D23" s="32"/>
      <c r="E23" s="33" t="s">
        <v>31</v>
      </c>
      <c r="F23" s="33" t="s">
        <v>72</v>
      </c>
      <c r="G23" s="32" t="s">
        <v>320</v>
      </c>
    </row>
    <row r="24" spans="1:7" x14ac:dyDescent="0.2">
      <c r="A24" s="31" t="str">
        <f>IF(ISBLANK(E24),"",Study!$C$2)</f>
        <v>TDF-001</v>
      </c>
      <c r="B24" s="31" t="str">
        <f t="shared" si="1"/>
        <v>TS</v>
      </c>
      <c r="C24" s="31">
        <v>1</v>
      </c>
      <c r="D24" s="32"/>
      <c r="E24" s="33" t="s">
        <v>33</v>
      </c>
      <c r="F24" s="33" t="s">
        <v>201</v>
      </c>
      <c r="G24" s="32" t="s">
        <v>321</v>
      </c>
    </row>
    <row r="25" spans="1:7" x14ac:dyDescent="0.2">
      <c r="A25" s="31" t="str">
        <f>IF(ISBLANK(E25),"",Study!$C$2)</f>
        <v>TDF-001</v>
      </c>
      <c r="B25" s="31" t="str">
        <f t="shared" si="1"/>
        <v>TS</v>
      </c>
      <c r="C25" s="31">
        <v>1</v>
      </c>
      <c r="D25" s="32"/>
      <c r="E25" s="33" t="s">
        <v>32</v>
      </c>
      <c r="F25" s="33" t="s">
        <v>200</v>
      </c>
      <c r="G25" s="32" t="s">
        <v>322</v>
      </c>
    </row>
    <row r="26" spans="1:7" x14ac:dyDescent="0.2">
      <c r="A26" s="31" t="str">
        <f>IF(ISBLANK(E26),"",Study!$C$2)</f>
        <v>TDF-001</v>
      </c>
      <c r="B26" s="31" t="str">
        <f t="shared" si="1"/>
        <v>TS</v>
      </c>
      <c r="C26" s="31">
        <v>1</v>
      </c>
      <c r="D26" s="32"/>
      <c r="E26" s="33" t="s">
        <v>38</v>
      </c>
      <c r="F26" s="33" t="s">
        <v>76</v>
      </c>
      <c r="G26" s="32" t="s">
        <v>156</v>
      </c>
    </row>
    <row r="27" spans="1:7" x14ac:dyDescent="0.2">
      <c r="A27" s="34" t="str">
        <f>IF(ISBLANK(E27),"",Study!$C$2)</f>
        <v>TDF-001</v>
      </c>
      <c r="B27" s="34" t="str">
        <f t="shared" si="1"/>
        <v>TS</v>
      </c>
      <c r="C27" s="34">
        <v>1</v>
      </c>
      <c r="D27" s="35"/>
      <c r="E27" s="33" t="s">
        <v>35</v>
      </c>
      <c r="F27" s="33" t="s">
        <v>73</v>
      </c>
      <c r="G27" s="35" t="s">
        <v>309</v>
      </c>
    </row>
    <row r="28" spans="1:7" x14ac:dyDescent="0.2">
      <c r="A28" s="34" t="str">
        <f>IF(ISBLANK(E28),"",Study!$C$2)</f>
        <v>TDF-001</v>
      </c>
      <c r="B28" s="34" t="str">
        <f t="shared" si="1"/>
        <v>TS</v>
      </c>
      <c r="C28" s="34">
        <v>1</v>
      </c>
      <c r="D28" s="35"/>
      <c r="E28" s="33" t="s">
        <v>41</v>
      </c>
      <c r="F28" s="33" t="s">
        <v>74</v>
      </c>
      <c r="G28" s="35" t="s">
        <v>295</v>
      </c>
    </row>
    <row r="29" spans="1:7" x14ac:dyDescent="0.2">
      <c r="A29" s="34" t="str">
        <f>IF(ISBLANK(E29),"",Study!$C$2)</f>
        <v>TDF-001</v>
      </c>
      <c r="B29" s="34" t="str">
        <f t="shared" si="1"/>
        <v>TS</v>
      </c>
      <c r="C29" s="34">
        <v>1</v>
      </c>
      <c r="D29" s="35"/>
      <c r="E29" s="33" t="s">
        <v>310</v>
      </c>
      <c r="F29" s="33" t="s">
        <v>312</v>
      </c>
      <c r="G29" s="35" t="s">
        <v>314</v>
      </c>
    </row>
    <row r="30" spans="1:7" x14ac:dyDescent="0.2">
      <c r="A30" s="34" t="str">
        <f>IF(ISBLANK(E30),"",Study!$C$2)</f>
        <v>TDF-001</v>
      </c>
      <c r="B30" s="34" t="str">
        <f t="shared" si="1"/>
        <v>TS</v>
      </c>
      <c r="C30" s="34">
        <v>1</v>
      </c>
      <c r="D30" s="35"/>
      <c r="E30" s="33" t="s">
        <v>311</v>
      </c>
      <c r="F30" s="33" t="s">
        <v>313</v>
      </c>
      <c r="G30" s="35" t="s">
        <v>315</v>
      </c>
    </row>
    <row r="31" spans="1:7" x14ac:dyDescent="0.2">
      <c r="A31" s="31" t="str">
        <f>IF(ISBLANK(E31),"",Study!$C$2)</f>
        <v>TDF-001</v>
      </c>
      <c r="B31" s="31" t="str">
        <f t="shared" si="1"/>
        <v>TS</v>
      </c>
      <c r="C31" s="31">
        <v>1</v>
      </c>
      <c r="D31" s="32"/>
      <c r="E31" s="33" t="s">
        <v>62</v>
      </c>
      <c r="F31" s="33" t="s">
        <v>63</v>
      </c>
      <c r="G31" s="32" t="s">
        <v>229</v>
      </c>
    </row>
    <row r="32" spans="1:7" x14ac:dyDescent="0.2">
      <c r="A32" s="36"/>
      <c r="B32" s="37"/>
      <c r="C32" s="37"/>
      <c r="D32" s="37"/>
      <c r="E32" s="37"/>
      <c r="F32" s="37"/>
      <c r="G32" s="38"/>
    </row>
  </sheetData>
  <sheetProtection selectLockedCells="1"/>
  <autoFilter ref="A1:G31" xr:uid="{00000000-0009-0000-0000-000002000000}"/>
  <phoneticPr fontId="1" type="noConversion"/>
  <dataValidations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2" r:id="rId4" name="CommandButton1">
          <controlPr print="0" autoLine="0" r:id="rId5">
            <anchor>
              <from>
                <xdr:col>5</xdr:col>
                <xdr:colOff>1743075</xdr:colOff>
                <xdr:row>1</xdr:row>
                <xdr:rowOff>0</xdr:rowOff>
              </from>
              <to>
                <xdr:col>6</xdr:col>
                <xdr:colOff>9525</xdr:colOff>
                <xdr:row>2</xdr:row>
                <xdr:rowOff>19050</xdr:rowOff>
              </to>
            </anchor>
          </controlPr>
        </control>
      </mc:Choice>
      <mc:Fallback>
        <control shapeId="1072" r:id="rId4" name="CommandButton1"/>
      </mc:Fallback>
    </mc:AlternateContent>
    <mc:AlternateContent xmlns:mc="http://schemas.openxmlformats.org/markup-compatibility/2006">
      <mc:Choice Requires="x14">
        <control shapeId="1073" r:id="rId6" name="CommandButton2">
          <controlPr print="0" autoLine="0" r:id="rId7">
            <anchor>
              <from>
                <xdr:col>5</xdr:col>
                <xdr:colOff>1581150</xdr:colOff>
                <xdr:row>1</xdr:row>
                <xdr:rowOff>0</xdr:rowOff>
              </from>
              <to>
                <xdr:col>5</xdr:col>
                <xdr:colOff>1743075</xdr:colOff>
                <xdr:row>2</xdr:row>
                <xdr:rowOff>19050</xdr:rowOff>
              </to>
            </anchor>
          </controlPr>
        </control>
      </mc:Choice>
      <mc:Fallback>
        <control shapeId="1073"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20"/>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4" t="s">
        <v>0</v>
      </c>
      <c r="B1" s="60" t="s">
        <v>1</v>
      </c>
      <c r="C1" s="60" t="s">
        <v>18</v>
      </c>
      <c r="D1" s="60" t="s">
        <v>19</v>
      </c>
      <c r="E1" s="60" t="s">
        <v>20</v>
      </c>
      <c r="F1" s="60" t="s">
        <v>21</v>
      </c>
      <c r="G1" s="60" t="s">
        <v>267</v>
      </c>
      <c r="H1" s="61" t="s">
        <v>57</v>
      </c>
    </row>
    <row r="2" spans="1:8" x14ac:dyDescent="0.2">
      <c r="A2" s="31" t="str">
        <f>StudyID</f>
        <v>TDF-001</v>
      </c>
      <c r="B2" s="31" t="s">
        <v>265</v>
      </c>
      <c r="C2" s="40" t="s">
        <v>47</v>
      </c>
      <c r="D2" s="39" t="s">
        <v>49</v>
      </c>
      <c r="E2" s="40" t="s">
        <v>48</v>
      </c>
      <c r="F2" s="40"/>
      <c r="G2" s="40"/>
      <c r="H2" s="39" t="s">
        <v>49</v>
      </c>
    </row>
    <row r="3" spans="1:8" x14ac:dyDescent="0.2">
      <c r="A3" s="31" t="str">
        <f>StudyID</f>
        <v>TDF-001</v>
      </c>
      <c r="B3" s="31" t="s">
        <v>265</v>
      </c>
      <c r="C3" s="40" t="s">
        <v>324</v>
      </c>
      <c r="D3" s="39" t="s">
        <v>326</v>
      </c>
      <c r="E3" s="40" t="s">
        <v>48</v>
      </c>
      <c r="F3" s="40"/>
      <c r="G3" s="40"/>
      <c r="H3" s="39" t="s">
        <v>326</v>
      </c>
    </row>
    <row r="4" spans="1:8" x14ac:dyDescent="0.2">
      <c r="A4" s="31" t="str">
        <f>StudyID</f>
        <v>TDF-001</v>
      </c>
      <c r="B4" s="31" t="s">
        <v>265</v>
      </c>
      <c r="C4" s="40" t="s">
        <v>325</v>
      </c>
      <c r="D4" s="39" t="s">
        <v>327</v>
      </c>
      <c r="E4" s="40" t="s">
        <v>48</v>
      </c>
      <c r="F4" s="40"/>
      <c r="G4" s="40"/>
      <c r="H4" s="39" t="s">
        <v>327</v>
      </c>
    </row>
    <row r="5" spans="1:8" ht="52.5" x14ac:dyDescent="0.2">
      <c r="A5" s="31" t="str">
        <f>StudyID</f>
        <v>TDF-001</v>
      </c>
      <c r="B5" s="31" t="s">
        <v>265</v>
      </c>
      <c r="C5" s="40" t="s">
        <v>50</v>
      </c>
      <c r="D5" s="39" t="s">
        <v>58</v>
      </c>
      <c r="E5" s="40" t="s">
        <v>51</v>
      </c>
      <c r="F5" s="40"/>
      <c r="G5" s="40"/>
      <c r="H5" s="39" t="s">
        <v>59</v>
      </c>
    </row>
    <row r="6" spans="1:8" x14ac:dyDescent="0.2">
      <c r="A6" s="31" t="str">
        <f>StudyID</f>
        <v>TDF-001</v>
      </c>
      <c r="B6" s="31" t="s">
        <v>265</v>
      </c>
      <c r="C6" s="40" t="s">
        <v>328</v>
      </c>
      <c r="D6" s="39" t="s">
        <v>329</v>
      </c>
      <c r="E6" s="40" t="s">
        <v>51</v>
      </c>
      <c r="F6" s="40"/>
      <c r="G6" s="40"/>
      <c r="H6" s="39" t="s">
        <v>329</v>
      </c>
    </row>
    <row r="7" spans="1:8" x14ac:dyDescent="0.2">
      <c r="A7" s="31"/>
      <c r="B7" s="31"/>
      <c r="C7" s="40"/>
      <c r="D7" s="39"/>
      <c r="E7" s="40"/>
      <c r="F7" s="40"/>
      <c r="G7" s="40"/>
      <c r="H7" s="39"/>
    </row>
    <row r="8" spans="1:8" x14ac:dyDescent="0.2">
      <c r="A8" s="31"/>
      <c r="B8" s="31"/>
      <c r="C8" s="40"/>
      <c r="D8" s="39"/>
      <c r="E8" s="40"/>
      <c r="F8" s="40"/>
      <c r="G8" s="40"/>
      <c r="H8" s="39"/>
    </row>
    <row r="9" spans="1:8" x14ac:dyDescent="0.2">
      <c r="A9" s="31"/>
      <c r="B9" s="31"/>
      <c r="C9" s="40"/>
      <c r="D9" s="39"/>
      <c r="E9" s="40"/>
      <c r="F9" s="40"/>
      <c r="G9" s="40"/>
      <c r="H9" s="39"/>
    </row>
    <row r="10" spans="1:8" x14ac:dyDescent="0.2">
      <c r="A10" s="31"/>
      <c r="B10" s="31"/>
      <c r="C10" s="40"/>
      <c r="D10" s="39"/>
      <c r="E10" s="40"/>
      <c r="F10" s="40"/>
      <c r="G10" s="40"/>
      <c r="H10" s="39"/>
    </row>
    <row r="11" spans="1:8" x14ac:dyDescent="0.2">
      <c r="A11" s="31"/>
      <c r="B11" s="31"/>
      <c r="C11" s="40"/>
      <c r="D11" s="39"/>
      <c r="E11" s="40"/>
      <c r="F11" s="40"/>
      <c r="G11" s="40"/>
      <c r="H11" s="39"/>
    </row>
    <row r="12" spans="1:8" x14ac:dyDescent="0.2">
      <c r="A12" s="31"/>
      <c r="B12" s="31"/>
      <c r="C12" s="40"/>
      <c r="D12" s="39"/>
      <c r="E12" s="40"/>
      <c r="F12" s="40"/>
      <c r="G12" s="40"/>
      <c r="H12" s="39"/>
    </row>
    <row r="13" spans="1:8" x14ac:dyDescent="0.2">
      <c r="A13" s="31"/>
      <c r="B13" s="31"/>
      <c r="C13" s="40"/>
      <c r="D13" s="39"/>
      <c r="E13" s="40"/>
      <c r="F13" s="40"/>
      <c r="G13" s="40"/>
      <c r="H13" s="39"/>
    </row>
    <row r="14" spans="1:8" x14ac:dyDescent="0.2">
      <c r="A14" s="31"/>
      <c r="B14" s="31"/>
      <c r="C14" s="40"/>
      <c r="D14" s="39"/>
      <c r="E14" s="40"/>
      <c r="F14" s="40"/>
      <c r="G14" s="40"/>
      <c r="H14" s="39"/>
    </row>
    <row r="15" spans="1:8" x14ac:dyDescent="0.2">
      <c r="A15" s="31"/>
      <c r="B15" s="31"/>
      <c r="C15" s="40"/>
      <c r="D15" s="39"/>
      <c r="E15" s="40"/>
      <c r="F15" s="40"/>
      <c r="G15" s="40"/>
      <c r="H15" s="39"/>
    </row>
    <row r="16" spans="1:8" x14ac:dyDescent="0.2">
      <c r="A16" s="31"/>
      <c r="B16" s="31"/>
      <c r="C16" s="40"/>
      <c r="D16" s="39"/>
      <c r="E16" s="40"/>
      <c r="F16" s="40"/>
      <c r="G16" s="40"/>
      <c r="H16" s="39"/>
    </row>
    <row r="17" spans="1:8" x14ac:dyDescent="0.2">
      <c r="A17" s="31"/>
      <c r="B17" s="31"/>
      <c r="C17" s="40"/>
      <c r="D17" s="39"/>
      <c r="E17" s="40"/>
      <c r="F17" s="40"/>
      <c r="G17" s="40"/>
      <c r="H17" s="39"/>
    </row>
    <row r="18" spans="1:8" x14ac:dyDescent="0.2">
      <c r="A18" s="31"/>
      <c r="B18" s="31"/>
      <c r="C18" s="40"/>
      <c r="D18" s="39"/>
      <c r="E18" s="40"/>
      <c r="F18" s="40"/>
      <c r="G18" s="40"/>
      <c r="H18" s="39"/>
    </row>
    <row r="19" spans="1:8" x14ac:dyDescent="0.2">
      <c r="A19" s="31"/>
      <c r="B19" s="31"/>
      <c r="C19" s="40"/>
      <c r="D19" s="39"/>
      <c r="E19" s="40"/>
      <c r="F19" s="40"/>
      <c r="G19" s="40"/>
      <c r="H19" s="39"/>
    </row>
    <row r="20" spans="1:8" x14ac:dyDescent="0.2">
      <c r="A20" s="48"/>
      <c r="B20" s="49"/>
      <c r="C20" s="49"/>
      <c r="D20" s="49"/>
      <c r="E20" s="49"/>
      <c r="F20" s="49"/>
      <c r="G20" s="49"/>
      <c r="H20" s="50"/>
    </row>
  </sheetData>
  <sheetProtection selectLockedCells="1"/>
  <phoneticPr fontId="1" type="noConversion"/>
  <dataValidations count="1">
    <dataValidation type="list" allowBlank="1" showInputMessage="1" showErrorMessage="1" sqref="E2:E4 E10:E11 E13:E17 E8"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3"/>
  <sheetViews>
    <sheetView workbookViewId="0"/>
  </sheetViews>
  <sheetFormatPr defaultRowHeight="12.75" x14ac:dyDescent="0.2"/>
  <cols>
    <col min="1" max="1" width="17.140625" style="53" customWidth="1"/>
    <col min="2" max="2" width="8.7109375" style="53" bestFit="1" customWidth="1"/>
    <col min="3" max="4" width="12" style="53" bestFit="1" customWidth="1"/>
    <col min="5" max="16384" width="9.140625" style="53"/>
  </cols>
  <sheetData>
    <row r="1" spans="1:4" ht="36.75" customHeight="1" x14ac:dyDescent="0.2">
      <c r="A1" s="12"/>
      <c r="B1" s="57" t="s">
        <v>52</v>
      </c>
      <c r="C1" s="58" t="s">
        <v>53</v>
      </c>
      <c r="D1" s="57" t="s">
        <v>54</v>
      </c>
    </row>
    <row r="2" spans="1:4" x14ac:dyDescent="0.2">
      <c r="A2" s="56" t="s">
        <v>351</v>
      </c>
      <c r="B2" s="59" t="s">
        <v>55</v>
      </c>
      <c r="C2" s="59" t="s">
        <v>330</v>
      </c>
      <c r="D2" s="59" t="s">
        <v>56</v>
      </c>
    </row>
    <row r="3" spans="1:4" x14ac:dyDescent="0.2">
      <c r="A3" s="56" t="s">
        <v>352</v>
      </c>
      <c r="B3" s="59" t="s">
        <v>55</v>
      </c>
      <c r="C3" s="59" t="s">
        <v>330</v>
      </c>
      <c r="D3" s="59"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8"/>
  <sheetViews>
    <sheetView showZeros="0" tabSelected="1" topLeftCell="B1" zoomScaleNormal="100" workbookViewId="0">
      <pane ySplit="1" topLeftCell="A2" activePane="bottomLeft" state="frozen"/>
      <selection activeCell="G2" sqref="G2"/>
      <selection pane="bottomLeft" activeCell="D6" sqref="D6"/>
    </sheetView>
  </sheetViews>
  <sheetFormatPr defaultRowHeight="11.25" x14ac:dyDescent="0.2"/>
  <cols>
    <col min="1" max="1" width="10.140625" style="2" hidden="1" customWidth="1"/>
    <col min="2" max="2" width="9.42578125" style="2" customWidth="1"/>
    <col min="3" max="3" width="11.7109375" style="2" bestFit="1" customWidth="1"/>
    <col min="4" max="4" width="21.42578125" style="2" customWidth="1"/>
    <col min="5" max="5" width="8.42578125" style="2" bestFit="1" customWidth="1"/>
    <col min="6" max="6" width="9.85546875" style="2" customWidth="1"/>
    <col min="7" max="7" width="19.28515625" style="2" customWidth="1"/>
    <col min="8" max="9" width="19.7109375" style="2" customWidth="1"/>
    <col min="10" max="10" width="11.140625" style="2" customWidth="1"/>
    <col min="11" max="16384" width="9.140625" style="2"/>
  </cols>
  <sheetData>
    <row r="1" spans="1:10" s="1" customFormat="1" x14ac:dyDescent="0.2">
      <c r="A1" s="44" t="s">
        <v>0</v>
      </c>
      <c r="B1" s="30" t="s">
        <v>1</v>
      </c>
      <c r="C1" s="22" t="s">
        <v>4</v>
      </c>
      <c r="D1" s="22" t="s">
        <v>5</v>
      </c>
      <c r="E1" s="22" t="s">
        <v>13</v>
      </c>
      <c r="F1" s="22" t="s">
        <v>2</v>
      </c>
      <c r="G1" s="22" t="s">
        <v>3</v>
      </c>
      <c r="H1" s="22" t="s">
        <v>14</v>
      </c>
      <c r="I1" s="22" t="s">
        <v>15</v>
      </c>
      <c r="J1" s="23" t="s">
        <v>6</v>
      </c>
    </row>
    <row r="2" spans="1:10" s="45" customFormat="1" x14ac:dyDescent="0.2">
      <c r="A2" s="47" t="str">
        <f t="shared" ref="A2:A7" si="0">StudyID</f>
        <v>TDF-001</v>
      </c>
      <c r="B2" s="47" t="s">
        <v>296</v>
      </c>
      <c r="C2" s="40" t="s">
        <v>351</v>
      </c>
      <c r="D2" s="63" t="s">
        <v>360</v>
      </c>
      <c r="E2" s="42">
        <v>1</v>
      </c>
      <c r="F2" s="41" t="s">
        <v>55</v>
      </c>
      <c r="G2" s="55" t="str">
        <f>VLOOKUP($F2,TE!$C:$D,2,FALSE)</f>
        <v>SCRN</v>
      </c>
      <c r="H2" s="39"/>
      <c r="I2" s="39"/>
      <c r="J2" s="41" t="s">
        <v>52</v>
      </c>
    </row>
    <row r="3" spans="1:10" s="45" customFormat="1" x14ac:dyDescent="0.2">
      <c r="A3" s="47" t="str">
        <f t="shared" si="0"/>
        <v>TDF-001</v>
      </c>
      <c r="B3" s="47" t="s">
        <v>296</v>
      </c>
      <c r="C3" s="40" t="s">
        <v>351</v>
      </c>
      <c r="D3" s="63" t="s">
        <v>360</v>
      </c>
      <c r="E3" s="42">
        <v>2</v>
      </c>
      <c r="F3" s="41" t="s">
        <v>331</v>
      </c>
      <c r="G3" s="55" t="str">
        <f>VLOOKUP($F3,TE!$C:$D,2,FALSE)</f>
        <v>10 mg</v>
      </c>
      <c r="H3" s="39"/>
      <c r="I3" s="39"/>
      <c r="J3" s="41" t="s">
        <v>53</v>
      </c>
    </row>
    <row r="4" spans="1:10" s="45" customFormat="1" x14ac:dyDescent="0.2">
      <c r="A4" s="47" t="str">
        <f t="shared" si="0"/>
        <v>TDF-001</v>
      </c>
      <c r="B4" s="47" t="s">
        <v>296</v>
      </c>
      <c r="C4" s="40" t="s">
        <v>351</v>
      </c>
      <c r="D4" s="63" t="s">
        <v>360</v>
      </c>
      <c r="E4" s="42">
        <v>3</v>
      </c>
      <c r="F4" s="41" t="s">
        <v>56</v>
      </c>
      <c r="G4" s="55" t="str">
        <f>VLOOKUP($F4,TE!$C:$D,2,FALSE)</f>
        <v>FU</v>
      </c>
      <c r="H4" s="39"/>
      <c r="I4" s="39"/>
      <c r="J4" s="41" t="s">
        <v>54</v>
      </c>
    </row>
    <row r="5" spans="1:10" s="45" customFormat="1" x14ac:dyDescent="0.2">
      <c r="A5" s="47" t="str">
        <f t="shared" si="0"/>
        <v>TDF-001</v>
      </c>
      <c r="B5" s="47" t="s">
        <v>296</v>
      </c>
      <c r="C5" s="40" t="s">
        <v>352</v>
      </c>
      <c r="D5" s="63" t="s">
        <v>361</v>
      </c>
      <c r="E5" s="42">
        <v>1</v>
      </c>
      <c r="F5" s="41" t="s">
        <v>55</v>
      </c>
      <c r="G5" s="55" t="str">
        <f>VLOOKUP($F5,TE!$C:$D,2,FALSE)</f>
        <v>SCRN</v>
      </c>
      <c r="H5" s="39"/>
      <c r="I5" s="39"/>
      <c r="J5" s="41" t="s">
        <v>52</v>
      </c>
    </row>
    <row r="6" spans="1:10" s="45" customFormat="1" x14ac:dyDescent="0.2">
      <c r="A6" s="47" t="str">
        <f t="shared" si="0"/>
        <v>TDF-001</v>
      </c>
      <c r="B6" s="47" t="s">
        <v>296</v>
      </c>
      <c r="C6" s="40" t="s">
        <v>352</v>
      </c>
      <c r="D6" s="63" t="s">
        <v>361</v>
      </c>
      <c r="E6" s="42">
        <v>2</v>
      </c>
      <c r="F6" s="41" t="s">
        <v>331</v>
      </c>
      <c r="G6" s="55" t="str">
        <f>VLOOKUP($F6,TE!$C:$D,2,FALSE)</f>
        <v>10 mg</v>
      </c>
      <c r="H6" s="39"/>
      <c r="I6" s="39"/>
      <c r="J6" s="41" t="s">
        <v>53</v>
      </c>
    </row>
    <row r="7" spans="1:10" s="45" customFormat="1" x14ac:dyDescent="0.2">
      <c r="A7" s="47" t="str">
        <f t="shared" si="0"/>
        <v>TDF-001</v>
      </c>
      <c r="B7" s="47" t="s">
        <v>296</v>
      </c>
      <c r="C7" s="40" t="s">
        <v>352</v>
      </c>
      <c r="D7" s="63" t="s">
        <v>361</v>
      </c>
      <c r="E7" s="42">
        <v>3</v>
      </c>
      <c r="F7" s="40" t="s">
        <v>56</v>
      </c>
      <c r="G7" s="55" t="str">
        <f>VLOOKUP($F7,TE!$C:$D,2,FALSE)</f>
        <v>FU</v>
      </c>
      <c r="H7" s="39"/>
      <c r="I7" s="39"/>
      <c r="J7" s="41" t="s">
        <v>54</v>
      </c>
    </row>
    <row r="8" spans="1:10" s="46" customFormat="1" x14ac:dyDescent="0.2">
      <c r="A8" s="47"/>
      <c r="B8" s="47"/>
      <c r="C8" s="40"/>
      <c r="D8" s="39"/>
      <c r="E8" s="40"/>
      <c r="F8" s="41"/>
      <c r="G8" s="55"/>
      <c r="H8" s="39"/>
      <c r="I8" s="39"/>
      <c r="J8" s="41"/>
    </row>
    <row r="9" spans="1:10" s="46" customFormat="1" x14ac:dyDescent="0.2">
      <c r="A9" s="47"/>
      <c r="B9" s="47"/>
      <c r="C9" s="40"/>
      <c r="D9" s="39"/>
      <c r="E9" s="40"/>
      <c r="F9" s="41"/>
      <c r="G9" s="55"/>
      <c r="H9" s="39"/>
      <c r="I9" s="39"/>
      <c r="J9" s="41"/>
    </row>
    <row r="10" spans="1:10" s="46" customFormat="1" x14ac:dyDescent="0.2">
      <c r="A10" s="47"/>
      <c r="B10" s="47"/>
      <c r="C10" s="40"/>
      <c r="D10" s="39"/>
      <c r="E10" s="40"/>
      <c r="F10" s="41"/>
      <c r="G10" s="55"/>
      <c r="H10" s="39"/>
      <c r="I10" s="39"/>
      <c r="J10" s="41"/>
    </row>
    <row r="11" spans="1:10" s="46" customFormat="1" x14ac:dyDescent="0.2">
      <c r="A11" s="47"/>
      <c r="B11" s="47"/>
      <c r="C11" s="40"/>
      <c r="D11" s="39"/>
      <c r="E11" s="40"/>
      <c r="F11" s="41"/>
      <c r="G11" s="55"/>
      <c r="H11" s="39"/>
      <c r="I11" s="41"/>
      <c r="J11" s="41"/>
    </row>
    <row r="12" spans="1:10" s="46" customFormat="1" x14ac:dyDescent="0.2">
      <c r="A12" s="47"/>
      <c r="B12" s="47"/>
      <c r="C12" s="40"/>
      <c r="D12" s="39"/>
      <c r="E12" s="40"/>
      <c r="F12" s="41"/>
      <c r="G12" s="55"/>
      <c r="H12" s="39"/>
      <c r="I12" s="41"/>
      <c r="J12" s="41"/>
    </row>
    <row r="13" spans="1:10" x14ac:dyDescent="0.2">
      <c r="A13" s="47"/>
      <c r="B13" s="47"/>
      <c r="C13" s="40"/>
      <c r="D13" s="39"/>
      <c r="E13" s="40"/>
      <c r="F13" s="40"/>
      <c r="G13" s="55"/>
      <c r="H13" s="39"/>
      <c r="I13" s="41"/>
      <c r="J13" s="41"/>
    </row>
    <row r="14" spans="1:10" x14ac:dyDescent="0.2">
      <c r="A14" s="47"/>
      <c r="B14" s="47"/>
      <c r="C14" s="40"/>
      <c r="D14" s="39"/>
      <c r="E14" s="40"/>
      <c r="F14" s="40"/>
      <c r="G14" s="55"/>
      <c r="H14" s="39"/>
      <c r="I14" s="41"/>
      <c r="J14" s="41"/>
    </row>
    <row r="15" spans="1:10" x14ac:dyDescent="0.2">
      <c r="A15" s="47"/>
      <c r="B15" s="47"/>
      <c r="C15" s="40"/>
      <c r="D15" s="39"/>
      <c r="E15" s="40"/>
      <c r="F15" s="40"/>
      <c r="G15" s="55"/>
      <c r="H15" s="39"/>
      <c r="I15" s="41"/>
      <c r="J15" s="41"/>
    </row>
    <row r="16" spans="1:10" x14ac:dyDescent="0.2">
      <c r="A16" s="47"/>
      <c r="B16" s="47"/>
      <c r="C16" s="40"/>
      <c r="D16" s="39"/>
      <c r="E16" s="40"/>
      <c r="F16" s="40"/>
      <c r="G16" s="55"/>
      <c r="H16" s="39"/>
      <c r="I16" s="41"/>
      <c r="J16" s="41"/>
    </row>
    <row r="17" spans="1:10" x14ac:dyDescent="0.2">
      <c r="A17" s="47"/>
      <c r="B17" s="47"/>
      <c r="C17" s="40"/>
      <c r="D17" s="39"/>
      <c r="E17" s="40"/>
      <c r="F17" s="40"/>
      <c r="G17" s="55"/>
      <c r="H17" s="39"/>
      <c r="I17" s="41"/>
      <c r="J17" s="41"/>
    </row>
    <row r="18" spans="1:10" x14ac:dyDescent="0.2">
      <c r="B18" s="24"/>
      <c r="C18" s="25"/>
      <c r="D18" s="25"/>
      <c r="E18" s="25"/>
      <c r="F18" s="25"/>
      <c r="G18" s="25"/>
      <c r="H18" s="25"/>
      <c r="I18" s="25"/>
      <c r="J18" s="26"/>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7 F13:F17" xr:uid="{00000000-0002-0000-0500-000000000000}">
      <formula1>ETCD</formula1>
    </dataValidation>
    <dataValidation type="custom" allowBlank="1" showInputMessage="1" showErrorMessage="1" errorTitle="Invalid Number" error="TAETORD must be a whole number which starts at 1 for the first element in the arm and increments for subsequent elements." sqref="E2:E9" xr:uid="{00000000-0002-0000-0500-000004000000}">
      <formula1>AND(E2=INT(E2),OR(AND(C2&lt;&gt;C1,E2=1),AND(C2=C1,E2&gt;E1)))</formula1>
    </dataValidation>
    <dataValidation type="custom" allowBlank="1" showInputMessage="1" showErrorMessage="1" errorTitle="Invalid Number" error="TAETORD must be a whole number which starts at 1 for the first element in the arm and increments for subsequent elements." sqref="E12" xr:uid="{00000000-0002-0000-0500-000002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3000000}">
      <formula1>AND(E10=INT(E10),OR(AND(#REF!&lt;&gt;#REF!,E10=1),AND(#REF!=#REF!,E10&gt;#REF!)))</formula1>
    </dataValidation>
    <dataValidation type="custom" allowBlank="1" showInputMessage="1" showErrorMessage="1" errorTitle="Invalid Number" error="TAETORD must be a whole number which starts at 1 for the first element in the arm and increments for subsequent elements." sqref="E13:E17" xr:uid="{00000000-0002-0000-0500-000001000000}">
      <formula1>AND(E13=INT(E13),OR(AND(C13&lt;&gt;#REF!,E13=1),AND(C13=#REF!,E13&gt;#REF!)))</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10</xdr:col>
                <xdr:colOff>600075</xdr:colOff>
                <xdr:row>5</xdr:row>
                <xdr:rowOff>0</xdr:rowOff>
              </from>
              <to>
                <xdr:col>11</xdr:col>
                <xdr:colOff>152400</xdr:colOff>
                <xdr:row>6</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G20"/>
  <sheetViews>
    <sheetView showZeros="0" topLeftCell="B1" zoomScaleNormal="100" workbookViewId="0">
      <pane ySplit="1" topLeftCell="A2" activePane="bottomLeft" state="frozen"/>
      <selection activeCell="I17" sqref="I17"/>
      <selection pane="bottomLeft" activeCell="B2" sqref="B2"/>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9" t="s">
        <v>0</v>
      </c>
      <c r="B1" s="30" t="s">
        <v>1</v>
      </c>
      <c r="C1" s="22" t="s">
        <v>2</v>
      </c>
      <c r="D1" s="22" t="s">
        <v>3</v>
      </c>
      <c r="E1" s="22" t="s">
        <v>10</v>
      </c>
      <c r="F1" s="22" t="s">
        <v>11</v>
      </c>
      <c r="G1" s="23" t="s">
        <v>12</v>
      </c>
    </row>
    <row r="2" spans="1:7" x14ac:dyDescent="0.2">
      <c r="A2" s="54" t="str">
        <f>StudyID</f>
        <v>TDF-001</v>
      </c>
      <c r="B2" s="43" t="s">
        <v>297</v>
      </c>
      <c r="C2" s="40" t="s">
        <v>55</v>
      </c>
      <c r="D2" s="39" t="s">
        <v>55</v>
      </c>
      <c r="E2" s="39"/>
      <c r="F2" s="39"/>
      <c r="G2" s="40"/>
    </row>
    <row r="3" spans="1:7" x14ac:dyDescent="0.2">
      <c r="A3" s="54" t="str">
        <f>StudyID</f>
        <v>TDF-001</v>
      </c>
      <c r="B3" s="43" t="s">
        <v>297</v>
      </c>
      <c r="C3" s="40" t="s">
        <v>331</v>
      </c>
      <c r="D3" s="39" t="s">
        <v>330</v>
      </c>
      <c r="E3" s="39"/>
      <c r="F3" s="39"/>
      <c r="G3" s="40"/>
    </row>
    <row r="4" spans="1:7" x14ac:dyDescent="0.2">
      <c r="A4" s="54" t="str">
        <f>StudyID</f>
        <v>TDF-001</v>
      </c>
      <c r="B4" s="43" t="s">
        <v>297</v>
      </c>
      <c r="C4" s="40" t="s">
        <v>56</v>
      </c>
      <c r="D4" s="39" t="s">
        <v>56</v>
      </c>
      <c r="E4" s="39"/>
      <c r="F4" s="39"/>
      <c r="G4" s="40"/>
    </row>
    <row r="5" spans="1:7" x14ac:dyDescent="0.2">
      <c r="A5" s="54"/>
      <c r="B5" s="43"/>
      <c r="C5" s="40"/>
      <c r="D5" s="39"/>
      <c r="E5" s="39"/>
      <c r="F5" s="39"/>
      <c r="G5" s="40"/>
    </row>
    <row r="6" spans="1:7" x14ac:dyDescent="0.2">
      <c r="A6" s="54"/>
      <c r="B6" s="43"/>
      <c r="C6" s="40"/>
      <c r="D6" s="39"/>
      <c r="E6" s="39"/>
      <c r="F6" s="39"/>
      <c r="G6" s="40"/>
    </row>
    <row r="7" spans="1:7" x14ac:dyDescent="0.2">
      <c r="A7" s="54"/>
      <c r="B7" s="43"/>
      <c r="C7" s="40"/>
      <c r="D7" s="39"/>
      <c r="E7" s="39"/>
      <c r="F7" s="39"/>
      <c r="G7" s="40"/>
    </row>
    <row r="8" spans="1:7" x14ac:dyDescent="0.2">
      <c r="A8" s="54"/>
      <c r="B8" s="43"/>
      <c r="C8" s="40"/>
      <c r="D8" s="39"/>
      <c r="E8" s="39"/>
      <c r="F8" s="39"/>
      <c r="G8" s="40"/>
    </row>
    <row r="9" spans="1:7" x14ac:dyDescent="0.2">
      <c r="A9" s="54"/>
      <c r="B9" s="43"/>
      <c r="C9" s="40"/>
      <c r="D9" s="39"/>
      <c r="E9" s="39"/>
      <c r="F9" s="39"/>
      <c r="G9" s="40"/>
    </row>
    <row r="10" spans="1:7" x14ac:dyDescent="0.2">
      <c r="A10" s="54"/>
      <c r="B10" s="43"/>
      <c r="C10" s="40"/>
      <c r="D10" s="39"/>
      <c r="E10" s="39"/>
      <c r="F10" s="39"/>
      <c r="G10" s="40"/>
    </row>
    <row r="11" spans="1:7" x14ac:dyDescent="0.2">
      <c r="A11" s="54"/>
      <c r="B11" s="43"/>
      <c r="C11" s="40"/>
      <c r="D11" s="39"/>
      <c r="E11" s="39"/>
      <c r="F11" s="39"/>
      <c r="G11" s="40"/>
    </row>
    <row r="12" spans="1:7" x14ac:dyDescent="0.2">
      <c r="A12" s="54"/>
      <c r="B12" s="43"/>
      <c r="C12" s="40"/>
      <c r="D12" s="39"/>
      <c r="E12" s="39"/>
      <c r="F12" s="39"/>
      <c r="G12" s="40"/>
    </row>
    <row r="13" spans="1:7" x14ac:dyDescent="0.2">
      <c r="A13" s="54"/>
      <c r="B13" s="43"/>
      <c r="C13" s="40"/>
      <c r="D13" s="39"/>
      <c r="E13" s="39"/>
      <c r="F13" s="39"/>
      <c r="G13" s="40"/>
    </row>
    <row r="14" spans="1:7" x14ac:dyDescent="0.2">
      <c r="A14" s="54"/>
      <c r="B14" s="43"/>
      <c r="C14" s="40"/>
      <c r="D14" s="39"/>
      <c r="E14" s="39"/>
      <c r="F14" s="39"/>
      <c r="G14" s="40"/>
    </row>
    <row r="15" spans="1:7" x14ac:dyDescent="0.2">
      <c r="A15" s="54"/>
      <c r="B15" s="43"/>
      <c r="C15" s="40"/>
      <c r="D15" s="39"/>
      <c r="E15" s="39"/>
      <c r="F15" s="39"/>
      <c r="G15" s="40"/>
    </row>
    <row r="16" spans="1:7" x14ac:dyDescent="0.2">
      <c r="A16" s="54"/>
      <c r="B16" s="43"/>
      <c r="C16" s="40"/>
      <c r="D16" s="39"/>
      <c r="E16" s="39"/>
      <c r="F16" s="39"/>
      <c r="G16" s="40"/>
    </row>
    <row r="17" spans="1:7" x14ac:dyDescent="0.2">
      <c r="A17" s="54"/>
      <c r="B17" s="43"/>
      <c r="C17" s="40"/>
      <c r="D17" s="39"/>
      <c r="E17" s="39"/>
      <c r="F17" s="39"/>
      <c r="G17" s="40"/>
    </row>
    <row r="18" spans="1:7" x14ac:dyDescent="0.2">
      <c r="A18" s="54"/>
      <c r="B18" s="43"/>
      <c r="C18" s="40"/>
      <c r="D18" s="39"/>
      <c r="E18" s="39"/>
      <c r="F18" s="39"/>
      <c r="G18" s="40"/>
    </row>
    <row r="19" spans="1:7" x14ac:dyDescent="0.2">
      <c r="A19" s="54"/>
      <c r="B19" s="43"/>
      <c r="C19" s="40"/>
      <c r="D19" s="39"/>
      <c r="E19" s="39"/>
      <c r="F19" s="39"/>
      <c r="G19" s="40"/>
    </row>
    <row r="20" spans="1:7" x14ac:dyDescent="0.2">
      <c r="B20" s="24"/>
      <c r="C20" s="25"/>
      <c r="D20" s="25"/>
      <c r="E20" s="25"/>
      <c r="F20" s="25"/>
      <c r="G20" s="26"/>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xdr:row>
                <xdr:rowOff>0</xdr:rowOff>
              </from>
              <to>
                <xdr:col>8</xdr:col>
                <xdr:colOff>247650</xdr:colOff>
                <xdr:row>2</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I20"/>
  <sheetViews>
    <sheetView showZeros="0" workbookViewId="0">
      <pane ySplit="1" topLeftCell="A2" activePane="bottomLeft" state="frozen"/>
      <selection activeCell="D2" sqref="D2:D16"/>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4" t="s">
        <v>0</v>
      </c>
      <c r="B1" s="60" t="s">
        <v>1</v>
      </c>
      <c r="C1" s="60" t="s">
        <v>7</v>
      </c>
      <c r="D1" s="60" t="s">
        <v>8</v>
      </c>
      <c r="E1" s="60" t="s">
        <v>9</v>
      </c>
      <c r="F1" s="60" t="s">
        <v>4</v>
      </c>
      <c r="G1" s="60" t="s">
        <v>5</v>
      </c>
      <c r="H1" s="60" t="s">
        <v>16</v>
      </c>
      <c r="I1" s="61" t="s">
        <v>17</v>
      </c>
    </row>
    <row r="2" spans="1:9" x14ac:dyDescent="0.2">
      <c r="A2" s="62" t="str">
        <f t="shared" ref="A2:A12" si="0">StudyID</f>
        <v>TDF-001</v>
      </c>
      <c r="B2" s="62" t="s">
        <v>298</v>
      </c>
      <c r="C2" s="40">
        <v>1</v>
      </c>
      <c r="D2" s="40" t="s">
        <v>299</v>
      </c>
      <c r="E2" s="40"/>
      <c r="F2" s="40"/>
      <c r="G2" s="55"/>
      <c r="H2" s="39"/>
      <c r="I2" s="39"/>
    </row>
    <row r="3" spans="1:9" x14ac:dyDescent="0.2">
      <c r="A3" s="62" t="str">
        <f t="shared" si="0"/>
        <v>TDF-001</v>
      </c>
      <c r="B3" s="62" t="s">
        <v>298</v>
      </c>
      <c r="C3" s="40">
        <v>2</v>
      </c>
      <c r="D3" s="40" t="s">
        <v>300</v>
      </c>
      <c r="E3" s="40"/>
      <c r="F3" s="40"/>
      <c r="G3" s="55"/>
      <c r="H3" s="39"/>
      <c r="I3" s="39"/>
    </row>
    <row r="4" spans="1:9" x14ac:dyDescent="0.2">
      <c r="A4" s="62" t="str">
        <f t="shared" si="0"/>
        <v>TDF-001</v>
      </c>
      <c r="B4" s="62" t="s">
        <v>298</v>
      </c>
      <c r="C4" s="40">
        <v>3</v>
      </c>
      <c r="D4" s="40" t="s">
        <v>301</v>
      </c>
      <c r="E4" s="40"/>
      <c r="F4" s="40"/>
      <c r="G4" s="55"/>
      <c r="H4" s="39"/>
      <c r="I4" s="39"/>
    </row>
    <row r="5" spans="1:9" x14ac:dyDescent="0.2">
      <c r="A5" s="62" t="str">
        <f t="shared" si="0"/>
        <v>TDF-001</v>
      </c>
      <c r="B5" s="62" t="s">
        <v>298</v>
      </c>
      <c r="C5" s="40">
        <v>4</v>
      </c>
      <c r="D5" s="40" t="s">
        <v>302</v>
      </c>
      <c r="E5" s="40"/>
      <c r="F5" s="40"/>
      <c r="G5" s="55"/>
      <c r="H5" s="39"/>
      <c r="I5" s="39"/>
    </row>
    <row r="6" spans="1:9" x14ac:dyDescent="0.2">
      <c r="A6" s="62" t="str">
        <f t="shared" si="0"/>
        <v>TDF-001</v>
      </c>
      <c r="B6" s="62" t="s">
        <v>298</v>
      </c>
      <c r="C6" s="40">
        <v>5</v>
      </c>
      <c r="D6" s="40" t="s">
        <v>303</v>
      </c>
      <c r="E6" s="40"/>
      <c r="F6" s="40"/>
      <c r="G6" s="55"/>
      <c r="H6" s="39"/>
      <c r="I6" s="39"/>
    </row>
    <row r="7" spans="1:9" x14ac:dyDescent="0.2">
      <c r="A7" s="62" t="str">
        <f t="shared" si="0"/>
        <v>TDF-001</v>
      </c>
      <c r="B7" s="62" t="s">
        <v>298</v>
      </c>
      <c r="C7" s="40">
        <v>6</v>
      </c>
      <c r="D7" s="40" t="s">
        <v>304</v>
      </c>
      <c r="E7" s="40"/>
      <c r="F7" s="40"/>
      <c r="G7" s="55"/>
      <c r="H7" s="39"/>
      <c r="I7" s="39"/>
    </row>
    <row r="8" spans="1:9" x14ac:dyDescent="0.2">
      <c r="A8" s="62" t="str">
        <f t="shared" si="0"/>
        <v>TDF-001</v>
      </c>
      <c r="B8" s="62" t="s">
        <v>298</v>
      </c>
      <c r="C8" s="40">
        <v>7</v>
      </c>
      <c r="D8" s="40" t="s">
        <v>305</v>
      </c>
      <c r="E8" s="40"/>
      <c r="F8" s="40"/>
      <c r="G8" s="55"/>
      <c r="H8" s="39"/>
      <c r="I8" s="39"/>
    </row>
    <row r="9" spans="1:9" x14ac:dyDescent="0.2">
      <c r="A9" s="62" t="str">
        <f t="shared" si="0"/>
        <v>TDF-001</v>
      </c>
      <c r="B9" s="62" t="s">
        <v>298</v>
      </c>
      <c r="C9" s="40">
        <v>8</v>
      </c>
      <c r="D9" s="40" t="s">
        <v>306</v>
      </c>
      <c r="E9" s="40"/>
      <c r="F9" s="40"/>
      <c r="G9" s="55"/>
      <c r="H9" s="39"/>
      <c r="I9" s="39"/>
    </row>
    <row r="10" spans="1:9" x14ac:dyDescent="0.2">
      <c r="A10" s="62" t="str">
        <f t="shared" si="0"/>
        <v>TDF-001</v>
      </c>
      <c r="B10" s="62" t="s">
        <v>298</v>
      </c>
      <c r="C10" s="40">
        <v>9</v>
      </c>
      <c r="D10" s="40" t="s">
        <v>307</v>
      </c>
      <c r="E10" s="40"/>
      <c r="F10" s="40"/>
      <c r="G10" s="55"/>
      <c r="H10" s="39"/>
      <c r="I10" s="39"/>
    </row>
    <row r="11" spans="1:9" x14ac:dyDescent="0.2">
      <c r="A11" s="62" t="str">
        <f t="shared" si="0"/>
        <v>TDF-001</v>
      </c>
      <c r="B11" s="62" t="s">
        <v>298</v>
      </c>
      <c r="C11" s="40">
        <v>10</v>
      </c>
      <c r="D11" s="40" t="s">
        <v>308</v>
      </c>
      <c r="E11" s="40"/>
      <c r="F11" s="40"/>
      <c r="G11" s="55"/>
      <c r="H11" s="39"/>
      <c r="I11" s="39"/>
    </row>
    <row r="12" spans="1:9" x14ac:dyDescent="0.2">
      <c r="A12" s="62" t="str">
        <f t="shared" si="0"/>
        <v>TDF-001</v>
      </c>
      <c r="B12" s="62" t="s">
        <v>298</v>
      </c>
      <c r="C12" s="40">
        <v>11</v>
      </c>
      <c r="D12" s="40" t="s">
        <v>54</v>
      </c>
      <c r="E12" s="40"/>
      <c r="F12" s="40"/>
      <c r="G12" s="55"/>
      <c r="H12" s="39"/>
      <c r="I12" s="39"/>
    </row>
    <row r="13" spans="1:9" x14ac:dyDescent="0.2">
      <c r="A13" s="62"/>
      <c r="B13" s="62"/>
      <c r="C13" s="40"/>
      <c r="D13" s="40"/>
      <c r="E13" s="40"/>
      <c r="F13" s="40"/>
      <c r="G13" s="55"/>
      <c r="H13" s="39"/>
      <c r="I13" s="39"/>
    </row>
    <row r="14" spans="1:9" x14ac:dyDescent="0.2">
      <c r="A14" s="62"/>
      <c r="B14" s="62"/>
      <c r="C14" s="40"/>
      <c r="D14" s="40"/>
      <c r="E14" s="40"/>
      <c r="F14" s="40"/>
      <c r="G14" s="55"/>
      <c r="H14" s="39"/>
      <c r="I14" s="39"/>
    </row>
    <row r="15" spans="1:9" x14ac:dyDescent="0.2">
      <c r="A15" s="62"/>
      <c r="B15" s="62"/>
      <c r="C15" s="40"/>
      <c r="D15" s="40"/>
      <c r="E15" s="40"/>
      <c r="F15" s="40"/>
      <c r="G15" s="55"/>
      <c r="H15" s="39"/>
      <c r="I15" s="39"/>
    </row>
    <row r="16" spans="1:9" x14ac:dyDescent="0.2">
      <c r="A16" s="62"/>
      <c r="B16" s="62"/>
      <c r="C16" s="40"/>
      <c r="D16" s="40"/>
      <c r="E16" s="40"/>
      <c r="F16" s="40"/>
      <c r="G16" s="55"/>
      <c r="H16" s="39"/>
      <c r="I16" s="39"/>
    </row>
    <row r="17" spans="1:9" x14ac:dyDescent="0.2">
      <c r="A17" s="62"/>
      <c r="B17" s="62"/>
      <c r="C17" s="40"/>
      <c r="D17" s="40"/>
      <c r="E17" s="40"/>
      <c r="F17" s="40"/>
      <c r="G17" s="55"/>
      <c r="H17" s="39"/>
      <c r="I17" s="39"/>
    </row>
    <row r="18" spans="1:9" x14ac:dyDescent="0.2">
      <c r="A18" s="62"/>
      <c r="B18" s="62"/>
      <c r="C18" s="40"/>
      <c r="D18" s="40"/>
      <c r="E18" s="40"/>
      <c r="F18" s="40"/>
      <c r="G18" s="55"/>
      <c r="H18" s="39"/>
      <c r="I18" s="39"/>
    </row>
    <row r="19" spans="1:9" x14ac:dyDescent="0.2">
      <c r="A19" s="62"/>
      <c r="B19" s="62"/>
      <c r="C19" s="40"/>
      <c r="D19" s="40"/>
      <c r="E19" s="40"/>
      <c r="F19" s="40"/>
      <c r="G19" s="55"/>
      <c r="H19" s="39"/>
      <c r="I19" s="39"/>
    </row>
    <row r="20" spans="1:9" x14ac:dyDescent="0.2">
      <c r="A20" s="24"/>
      <c r="B20" s="25"/>
      <c r="C20" s="25"/>
      <c r="D20" s="25"/>
      <c r="E20" s="25"/>
      <c r="F20" s="25"/>
      <c r="G20" s="25"/>
      <c r="H20" s="25"/>
      <c r="I20" s="26"/>
    </row>
  </sheetData>
  <sheetProtection selectLockedCells="1"/>
  <phoneticPr fontId="1" type="noConversion"/>
  <dataValidations count="3">
    <dataValidation type="list" allowBlank="1" showInputMessage="1" sqref="H2:H19" xr:uid="{00000000-0002-0000-0700-000000000000}">
      <formula1>TVSTRL</formula1>
    </dataValidation>
    <dataValidation type="list" allowBlank="1" showInputMessage="1" sqref="I2:I19" xr:uid="{00000000-0002-0000-0700-000001000000}">
      <formula1>TVENRL</formula1>
    </dataValidation>
    <dataValidation type="list" showInputMessage="1" showErrorMessage="1" errorTitle="Invalid Arm Code" error="The arm code you have entered is not valid.  Please choose an arm code from the TA sheet." sqref="F2:F19"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1</xdr:row>
                <xdr:rowOff>0</xdr:rowOff>
              </from>
              <to>
                <xdr:col>9</xdr:col>
                <xdr:colOff>333375</xdr:colOff>
                <xdr:row>2</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8"/>
  <sheetViews>
    <sheetView workbookViewId="0">
      <selection activeCell="E4" sqref="E4"/>
    </sheetView>
  </sheetViews>
  <sheetFormatPr defaultRowHeight="12.75" x14ac:dyDescent="0.2"/>
  <cols>
    <col min="1" max="1" width="11.7109375" style="53" customWidth="1"/>
    <col min="2" max="2" width="11.140625" style="53" customWidth="1"/>
    <col min="3" max="3" width="33.85546875" style="53" bestFit="1" customWidth="1"/>
    <col min="4" max="4" width="14" style="53" bestFit="1" customWidth="1"/>
    <col min="5" max="5" width="78" style="53" bestFit="1" customWidth="1"/>
    <col min="6" max="16384" width="9.140625" style="53"/>
  </cols>
  <sheetData>
    <row r="1" spans="1:5" x14ac:dyDescent="0.2">
      <c r="A1" s="9" t="s">
        <v>333</v>
      </c>
      <c r="B1" s="27" t="s">
        <v>335</v>
      </c>
      <c r="C1" s="27" t="s">
        <v>336</v>
      </c>
      <c r="D1" s="27" t="s">
        <v>334</v>
      </c>
      <c r="E1" s="28" t="s">
        <v>338</v>
      </c>
    </row>
    <row r="2" spans="1:5" ht="73.5" x14ac:dyDescent="0.2">
      <c r="A2" s="7" t="s">
        <v>332</v>
      </c>
      <c r="B2" s="7" t="s">
        <v>337</v>
      </c>
      <c r="C2" s="7" t="s">
        <v>356</v>
      </c>
      <c r="D2" s="8" t="s">
        <v>353</v>
      </c>
      <c r="E2" s="8" t="s">
        <v>355</v>
      </c>
    </row>
    <row r="3" spans="1:5" ht="73.5" x14ac:dyDescent="0.2">
      <c r="A3" s="7" t="s">
        <v>332</v>
      </c>
      <c r="B3" s="7" t="s">
        <v>354</v>
      </c>
      <c r="C3" s="7" t="s">
        <v>357</v>
      </c>
      <c r="D3" s="8" t="s">
        <v>358</v>
      </c>
      <c r="E3" s="8" t="s">
        <v>359</v>
      </c>
    </row>
    <row r="4" spans="1:5" x14ac:dyDescent="0.2">
      <c r="A4" s="7"/>
      <c r="B4" s="7"/>
      <c r="C4" s="7"/>
      <c r="D4" s="8"/>
      <c r="E4" s="8"/>
    </row>
    <row r="5" spans="1:5" x14ac:dyDescent="0.2">
      <c r="A5" s="7"/>
      <c r="B5" s="7"/>
      <c r="C5" s="7"/>
      <c r="D5" s="8"/>
      <c r="E5" s="8"/>
    </row>
    <row r="6" spans="1:5" x14ac:dyDescent="0.2">
      <c r="A6" s="7"/>
      <c r="B6" s="7"/>
      <c r="C6" s="7"/>
      <c r="D6" s="8"/>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9"/>
      <c r="B18" s="10"/>
      <c r="C18" s="10"/>
      <c r="D18" s="10"/>
      <c r="E18" s="11"/>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21" t="s">
        <v>351</v>
      </c>
      <c r="F2" s="21" t="s">
        <v>331</v>
      </c>
    </row>
    <row r="3" spans="1:6" x14ac:dyDescent="0.2">
      <c r="A3" t="s">
        <v>27</v>
      </c>
      <c r="B3" t="s">
        <v>217</v>
      </c>
      <c r="D3" s="21" t="s">
        <v>352</v>
      </c>
      <c r="F3" s="21" t="s">
        <v>56</v>
      </c>
    </row>
    <row r="4" spans="1:6" x14ac:dyDescent="0.2">
      <c r="A4" t="s">
        <v>27</v>
      </c>
      <c r="B4" t="s">
        <v>218</v>
      </c>
      <c r="D4" s="21"/>
      <c r="F4" s="21" t="s">
        <v>55</v>
      </c>
    </row>
    <row r="5" spans="1:6" x14ac:dyDescent="0.2">
      <c r="A5" t="s">
        <v>27</v>
      </c>
      <c r="B5" t="s">
        <v>219</v>
      </c>
      <c r="D5" s="21"/>
      <c r="F5" s="21"/>
    </row>
    <row r="6" spans="1:6" x14ac:dyDescent="0.2">
      <c r="A6" t="s">
        <v>27</v>
      </c>
      <c r="B6" t="s">
        <v>220</v>
      </c>
      <c r="D6" s="21"/>
      <c r="F6" s="21"/>
    </row>
    <row r="7" spans="1:6" x14ac:dyDescent="0.2">
      <c r="A7" t="s">
        <v>27</v>
      </c>
      <c r="B7" t="s">
        <v>221</v>
      </c>
      <c r="D7" s="21"/>
      <c r="F7" s="21"/>
    </row>
    <row r="8" spans="1:6" x14ac:dyDescent="0.2">
      <c r="A8" t="s">
        <v>27</v>
      </c>
      <c r="B8" t="s">
        <v>222</v>
      </c>
      <c r="D8" s="21"/>
      <c r="F8" s="21"/>
    </row>
    <row r="9" spans="1:6" x14ac:dyDescent="0.2">
      <c r="A9" t="s">
        <v>60</v>
      </c>
      <c r="B9" t="s">
        <v>223</v>
      </c>
      <c r="D9" s="21"/>
    </row>
    <row r="10" spans="1:6" x14ac:dyDescent="0.2">
      <c r="A10" t="s">
        <v>60</v>
      </c>
      <c r="B10" t="s">
        <v>224</v>
      </c>
      <c r="D10" s="21"/>
    </row>
    <row r="11" spans="1:6" x14ac:dyDescent="0.2">
      <c r="A11" t="s">
        <v>60</v>
      </c>
      <c r="B11" t="s">
        <v>225</v>
      </c>
      <c r="D11" s="21"/>
    </row>
    <row r="12" spans="1:6" x14ac:dyDescent="0.2">
      <c r="A12" t="s">
        <v>60</v>
      </c>
      <c r="B12" t="s">
        <v>226</v>
      </c>
      <c r="D12" s="21"/>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6"/>
      <c r="F17" s="5"/>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6"/>
    </row>
    <row r="24" spans="1:6" x14ac:dyDescent="0.2">
      <c r="A24" t="s">
        <v>38</v>
      </c>
      <c r="B24" t="s">
        <v>91</v>
      </c>
    </row>
    <row r="25" spans="1:6" x14ac:dyDescent="0.2">
      <c r="A25" t="s">
        <v>38</v>
      </c>
      <c r="B25" t="s">
        <v>92</v>
      </c>
    </row>
    <row r="26" spans="1:6" x14ac:dyDescent="0.2">
      <c r="A26" t="s">
        <v>38</v>
      </c>
      <c r="B26" t="s">
        <v>93</v>
      </c>
      <c r="D26" s="5"/>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xmlns:xlrd2="http://schemas.microsoft.com/office/spreadsheetml/2017/richdata2" ref="D2:D174">
    <sortCondition ref="D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SDTM_Configuration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Dante Di Tommaso</cp:lastModifiedBy>
  <cp:lastPrinted>2009-07-02T18:05:40Z</cp:lastPrinted>
  <dcterms:created xsi:type="dcterms:W3CDTF">2007-04-11T10:29:50Z</dcterms:created>
  <dcterms:modified xsi:type="dcterms:W3CDTF">2019-09-30T20:13:46Z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